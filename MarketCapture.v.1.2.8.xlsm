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Data Capture/"/>
    </mc:Choice>
  </mc:AlternateContent>
  <xr:revisionPtr revIDLastSave="84" documentId="8_{942D9C0E-A2F7-4B89-BF0C-1DAAEA788082}" xr6:coauthVersionLast="47" xr6:coauthVersionMax="47" xr10:uidLastSave="{721E0D22-EBBD-46E4-8EE4-016DDE62FAB0}"/>
  <bookViews>
    <workbookView xWindow="5340" yWindow="1520" windowWidth="29000" windowHeight="17930" tabRatio="683" xr2:uid="{68B66EF3-FC84-4FED-A4E7-E907BF50A65C}"/>
  </bookViews>
  <sheets>
    <sheet name="SPXT Index" sheetId="1" r:id="rId1"/>
    <sheet name="NBI Index" sheetId="2" r:id="rId2"/>
    <sheet name="HFRXEMN Index" sheetId="3" r:id="rId3"/>
    <sheet name="XBI US Equity" sheetId="4" r:id="rId4"/>
    <sheet name="MSA1BIO Index" sheetId="5" r:id="rId5"/>
    <sheet name="MSA1BIOH Index" sheetId="6" r:id="rId6"/>
    <sheet name="IWM US Index" sheetId="7" r:id="rId7"/>
    <sheet name="RGUSHSBT Index" sheetId="8" r:id="rId8"/>
  </sheets>
  <functionGroups builtInGroupCount="19"/>
  <definedNames>
    <definedName name="DropSpot" localSheetId="2">'HFRXEMN Index'!$D$2</definedName>
    <definedName name="DropSpot" localSheetId="6">'IWM US Index'!$D$2</definedName>
    <definedName name="DropSpot" localSheetId="4">'MSA1BIO Index'!$D$2</definedName>
    <definedName name="DropSpot" localSheetId="5">'MSA1BIOH Index'!$D$2</definedName>
    <definedName name="DropSpot" localSheetId="1">'NBI Index'!$D$2</definedName>
    <definedName name="DropSpot" localSheetId="7">'RGUSHSBT Index'!$D$2</definedName>
    <definedName name="DropSpot" localSheetId="0">'SPXT Index'!$D$2</definedName>
    <definedName name="DropSpot" localSheetId="3">'XBI US Equity'!$D$2</definedName>
    <definedName name="EntityLocal" localSheetId="2">'HFRXEMN Index'!$B$1</definedName>
    <definedName name="EntityLocal" localSheetId="6">'IWM US Index'!$B$1</definedName>
    <definedName name="EntityLocal" localSheetId="4">'MSA1BIO Index'!$B$1</definedName>
    <definedName name="EntityLocal" localSheetId="5">'MSA1BIOH Index'!$B$1</definedName>
    <definedName name="EntityLocal" localSheetId="1">'NBI Index'!$B$1</definedName>
    <definedName name="EntityLocal" localSheetId="7">'RGUSHSBT Index'!$B$1</definedName>
    <definedName name="EntityLocal" localSheetId="0">'SPXT Index'!$B$1</definedName>
    <definedName name="EntityLocal" localSheetId="3">'XBI US Equity'!$B$1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0" i="3" l="1"/>
  <c r="E300" i="3"/>
  <c r="D300" i="3"/>
  <c r="F299" i="3"/>
  <c r="E299" i="3"/>
  <c r="D299" i="3"/>
  <c r="F298" i="3"/>
  <c r="E298" i="3"/>
  <c r="D298" i="3"/>
  <c r="F297" i="3"/>
  <c r="E297" i="3"/>
  <c r="D297" i="3"/>
  <c r="F296" i="3"/>
  <c r="E296" i="3"/>
  <c r="D296" i="3"/>
  <c r="F295" i="3"/>
  <c r="E295" i="3"/>
  <c r="D295" i="3"/>
  <c r="F294" i="3"/>
  <c r="E294" i="3"/>
  <c r="D294" i="3"/>
  <c r="F293" i="3"/>
  <c r="E293" i="3"/>
  <c r="D293" i="3"/>
  <c r="F292" i="3"/>
  <c r="E292" i="3"/>
  <c r="D292" i="3"/>
  <c r="F291" i="3"/>
  <c r="E291" i="3"/>
  <c r="D291" i="3"/>
  <c r="F290" i="3"/>
  <c r="E290" i="3"/>
  <c r="D290" i="3"/>
  <c r="F289" i="3"/>
  <c r="E289" i="3"/>
  <c r="D289" i="3"/>
  <c r="F288" i="3"/>
  <c r="E288" i="3"/>
  <c r="D288" i="3"/>
  <c r="F287" i="3"/>
  <c r="E287" i="3"/>
  <c r="D287" i="3"/>
  <c r="F286" i="3"/>
  <c r="E286" i="3"/>
  <c r="D286" i="3"/>
  <c r="F285" i="3"/>
  <c r="E285" i="3"/>
  <c r="D285" i="3"/>
  <c r="F284" i="3"/>
  <c r="E284" i="3"/>
  <c r="D284" i="3"/>
  <c r="F283" i="3"/>
  <c r="E283" i="3"/>
  <c r="D283" i="3"/>
  <c r="F282" i="3"/>
  <c r="E282" i="3"/>
  <c r="D282" i="3"/>
  <c r="F281" i="3"/>
  <c r="E281" i="3"/>
  <c r="D281" i="3"/>
  <c r="F280" i="3"/>
  <c r="E280" i="3"/>
  <c r="D280" i="3"/>
  <c r="F279" i="3"/>
  <c r="E279" i="3"/>
  <c r="D279" i="3"/>
  <c r="F278" i="3"/>
  <c r="E278" i="3"/>
  <c r="D278" i="3"/>
  <c r="F277" i="3"/>
  <c r="E277" i="3"/>
  <c r="D277" i="3"/>
  <c r="F276" i="3"/>
  <c r="E276" i="3"/>
  <c r="D276" i="3"/>
  <c r="F275" i="3"/>
  <c r="E275" i="3"/>
  <c r="D275" i="3"/>
  <c r="F274" i="3"/>
  <c r="E274" i="3"/>
  <c r="D274" i="3"/>
  <c r="F273" i="3"/>
  <c r="E273" i="3"/>
  <c r="D273" i="3"/>
  <c r="F272" i="3"/>
  <c r="E272" i="3"/>
  <c r="D272" i="3"/>
  <c r="F271" i="3"/>
  <c r="E271" i="3"/>
  <c r="D271" i="3"/>
  <c r="F270" i="3"/>
  <c r="E270" i="3"/>
  <c r="D270" i="3"/>
  <c r="F269" i="3"/>
  <c r="E269" i="3"/>
  <c r="D269" i="3"/>
  <c r="F268" i="3"/>
  <c r="E268" i="3"/>
  <c r="D268" i="3"/>
  <c r="F267" i="3"/>
  <c r="E267" i="3"/>
  <c r="D267" i="3"/>
  <c r="F266" i="3"/>
  <c r="E266" i="3"/>
  <c r="D266" i="3"/>
  <c r="F265" i="3"/>
  <c r="E265" i="3"/>
  <c r="D265" i="3"/>
  <c r="F264" i="3"/>
  <c r="E264" i="3"/>
  <c r="D264" i="3"/>
  <c r="F263" i="3"/>
  <c r="E263" i="3"/>
  <c r="D263" i="3"/>
  <c r="F262" i="3"/>
  <c r="E262" i="3"/>
  <c r="D262" i="3"/>
  <c r="F261" i="3"/>
  <c r="E261" i="3"/>
  <c r="D261" i="3"/>
  <c r="F260" i="3"/>
  <c r="E260" i="3"/>
  <c r="D260" i="3"/>
  <c r="F259" i="3"/>
  <c r="E259" i="3"/>
  <c r="D259" i="3"/>
  <c r="F258" i="3"/>
  <c r="E258" i="3"/>
  <c r="D258" i="3"/>
  <c r="F257" i="3"/>
  <c r="E257" i="3"/>
  <c r="D257" i="3"/>
  <c r="F256" i="3"/>
  <c r="E256" i="3"/>
  <c r="D256" i="3"/>
  <c r="F255" i="3"/>
  <c r="E255" i="3"/>
  <c r="D255" i="3"/>
  <c r="F254" i="3"/>
  <c r="E254" i="3"/>
  <c r="D254" i="3"/>
  <c r="F253" i="3"/>
  <c r="E253" i="3"/>
  <c r="D253" i="3"/>
  <c r="F252" i="3"/>
  <c r="E252" i="3"/>
  <c r="D252" i="3"/>
  <c r="F251" i="3"/>
  <c r="E251" i="3"/>
  <c r="D251" i="3"/>
  <c r="F250" i="3"/>
  <c r="E250" i="3"/>
  <c r="D250" i="3"/>
  <c r="F249" i="3"/>
  <c r="E249" i="3"/>
  <c r="D249" i="3"/>
  <c r="F248" i="3"/>
  <c r="E248" i="3"/>
  <c r="D248" i="3"/>
  <c r="F247" i="3"/>
  <c r="E247" i="3"/>
  <c r="D247" i="3"/>
  <c r="F246" i="3"/>
  <c r="E246" i="3"/>
  <c r="D246" i="3"/>
  <c r="F245" i="3"/>
  <c r="E245" i="3"/>
  <c r="D245" i="3"/>
  <c r="F244" i="3"/>
  <c r="E244" i="3"/>
  <c r="D244" i="3"/>
  <c r="F243" i="3"/>
  <c r="E243" i="3"/>
  <c r="D243" i="3"/>
  <c r="F242" i="3"/>
  <c r="E242" i="3"/>
  <c r="D242" i="3"/>
  <c r="F241" i="3"/>
  <c r="E241" i="3"/>
  <c r="D241" i="3"/>
  <c r="F240" i="3"/>
  <c r="E240" i="3"/>
  <c r="D240" i="3"/>
  <c r="F239" i="3"/>
  <c r="E239" i="3"/>
  <c r="D239" i="3"/>
  <c r="F238" i="3"/>
  <c r="E238" i="3"/>
  <c r="D238" i="3"/>
  <c r="F237" i="3"/>
  <c r="E237" i="3"/>
  <c r="D237" i="3"/>
  <c r="F236" i="3"/>
  <c r="E236" i="3"/>
  <c r="D236" i="3"/>
  <c r="F235" i="3"/>
  <c r="E235" i="3"/>
  <c r="D235" i="3"/>
  <c r="F234" i="3"/>
  <c r="E234" i="3"/>
  <c r="D234" i="3"/>
  <c r="F233" i="3"/>
  <c r="E233" i="3"/>
  <c r="D233" i="3"/>
  <c r="F232" i="3"/>
  <c r="E232" i="3"/>
  <c r="D232" i="3"/>
  <c r="F231" i="3"/>
  <c r="E231" i="3"/>
  <c r="D231" i="3"/>
  <c r="F230" i="3"/>
  <c r="E230" i="3"/>
  <c r="D230" i="3"/>
  <c r="F229" i="3"/>
  <c r="E229" i="3"/>
  <c r="D229" i="3"/>
  <c r="F228" i="3"/>
  <c r="E228" i="3"/>
  <c r="D228" i="3"/>
  <c r="F227" i="3"/>
  <c r="E227" i="3"/>
  <c r="D227" i="3"/>
  <c r="F226" i="3"/>
  <c r="E226" i="3"/>
  <c r="D226" i="3"/>
  <c r="F225" i="3"/>
  <c r="E225" i="3"/>
  <c r="D225" i="3"/>
  <c r="F224" i="3"/>
  <c r="E224" i="3"/>
  <c r="D224" i="3"/>
  <c r="F223" i="3"/>
  <c r="E223" i="3"/>
  <c r="D223" i="3"/>
  <c r="F222" i="3"/>
  <c r="E222" i="3"/>
  <c r="D222" i="3"/>
  <c r="F221" i="3"/>
  <c r="E221" i="3"/>
  <c r="D221" i="3"/>
  <c r="F220" i="3"/>
  <c r="E220" i="3"/>
  <c r="D220" i="3"/>
  <c r="F219" i="3"/>
  <c r="E219" i="3"/>
  <c r="D219" i="3"/>
  <c r="F218" i="3"/>
  <c r="E218" i="3"/>
  <c r="D218" i="3"/>
  <c r="F217" i="3"/>
  <c r="E217" i="3"/>
  <c r="D217" i="3"/>
  <c r="F216" i="3"/>
  <c r="E216" i="3"/>
  <c r="D216" i="3"/>
  <c r="F215" i="3"/>
  <c r="E215" i="3"/>
  <c r="D215" i="3"/>
  <c r="F214" i="3"/>
  <c r="E214" i="3"/>
  <c r="D214" i="3"/>
  <c r="F213" i="3"/>
  <c r="E213" i="3"/>
  <c r="D213" i="3"/>
  <c r="F212" i="3"/>
  <c r="E212" i="3"/>
  <c r="D212" i="3"/>
  <c r="F211" i="3"/>
  <c r="E211" i="3"/>
  <c r="D211" i="3"/>
  <c r="F210" i="3"/>
  <c r="E210" i="3"/>
  <c r="D210" i="3"/>
  <c r="F209" i="3"/>
  <c r="E209" i="3"/>
  <c r="D209" i="3"/>
  <c r="F208" i="3"/>
  <c r="E208" i="3"/>
  <c r="D208" i="3"/>
  <c r="F207" i="3"/>
  <c r="E207" i="3"/>
  <c r="D207" i="3"/>
  <c r="F206" i="3"/>
  <c r="E206" i="3"/>
  <c r="D206" i="3"/>
  <c r="F205" i="3"/>
  <c r="E205" i="3"/>
  <c r="D205" i="3"/>
  <c r="F204" i="3"/>
  <c r="E204" i="3"/>
  <c r="D204" i="3"/>
  <c r="F203" i="3"/>
  <c r="E203" i="3"/>
  <c r="D203" i="3"/>
  <c r="F202" i="3"/>
  <c r="E202" i="3"/>
  <c r="D202" i="3"/>
  <c r="F201" i="3"/>
  <c r="E201" i="3"/>
  <c r="D201" i="3"/>
  <c r="F200" i="3"/>
  <c r="E200" i="3"/>
  <c r="D200" i="3"/>
  <c r="F199" i="3"/>
  <c r="E199" i="3"/>
  <c r="D199" i="3"/>
  <c r="F198" i="3"/>
  <c r="E198" i="3"/>
  <c r="D198" i="3"/>
  <c r="F197" i="3"/>
  <c r="E197" i="3"/>
  <c r="D197" i="3"/>
  <c r="F196" i="3"/>
  <c r="E196" i="3"/>
  <c r="D196" i="3"/>
  <c r="F195" i="3"/>
  <c r="E195" i="3"/>
  <c r="D195" i="3"/>
  <c r="F194" i="3"/>
  <c r="E194" i="3"/>
  <c r="D194" i="3"/>
  <c r="F193" i="3"/>
  <c r="E193" i="3"/>
  <c r="D193" i="3"/>
  <c r="F192" i="3"/>
  <c r="E192" i="3"/>
  <c r="D192" i="3"/>
  <c r="F191" i="3"/>
  <c r="E191" i="3"/>
  <c r="D191" i="3"/>
  <c r="F190" i="3"/>
  <c r="E190" i="3"/>
  <c r="D190" i="3"/>
  <c r="F189" i="3"/>
  <c r="E189" i="3"/>
  <c r="D189" i="3"/>
  <c r="F188" i="3"/>
  <c r="E188" i="3"/>
  <c r="D188" i="3"/>
  <c r="F187" i="3"/>
  <c r="E187" i="3"/>
  <c r="D187" i="3"/>
  <c r="F186" i="3"/>
  <c r="E186" i="3"/>
  <c r="D186" i="3"/>
  <c r="F185" i="3"/>
  <c r="E185" i="3"/>
  <c r="D185" i="3"/>
  <c r="F184" i="3"/>
  <c r="E184" i="3"/>
  <c r="D184" i="3"/>
  <c r="F183" i="3"/>
  <c r="E183" i="3"/>
  <c r="D183" i="3"/>
  <c r="F182" i="3"/>
  <c r="E182" i="3"/>
  <c r="D182" i="3"/>
  <c r="F181" i="3"/>
  <c r="E181" i="3"/>
  <c r="D181" i="3"/>
  <c r="F180" i="3"/>
  <c r="E180" i="3"/>
  <c r="D180" i="3"/>
  <c r="F179" i="3"/>
  <c r="E179" i="3"/>
  <c r="D179" i="3"/>
  <c r="F178" i="3"/>
  <c r="E178" i="3"/>
  <c r="D178" i="3"/>
  <c r="F177" i="3"/>
  <c r="E177" i="3"/>
  <c r="D177" i="3"/>
  <c r="F176" i="3"/>
  <c r="E176" i="3"/>
  <c r="D176" i="3"/>
  <c r="F175" i="3"/>
  <c r="E175" i="3"/>
  <c r="D175" i="3"/>
  <c r="F174" i="3"/>
  <c r="E174" i="3"/>
  <c r="D174" i="3"/>
  <c r="F173" i="3"/>
  <c r="E173" i="3"/>
  <c r="D173" i="3"/>
  <c r="F172" i="3"/>
  <c r="E172" i="3"/>
  <c r="D172" i="3"/>
  <c r="F171" i="3"/>
  <c r="E171" i="3"/>
  <c r="D171" i="3"/>
  <c r="F170" i="3"/>
  <c r="E170" i="3"/>
  <c r="D170" i="3"/>
  <c r="F169" i="3"/>
  <c r="E169" i="3"/>
  <c r="D169" i="3"/>
  <c r="F168" i="3"/>
  <c r="E168" i="3"/>
  <c r="D168" i="3"/>
  <c r="F167" i="3"/>
  <c r="E167" i="3"/>
  <c r="D167" i="3"/>
  <c r="F166" i="3"/>
  <c r="E166" i="3"/>
  <c r="D166" i="3"/>
  <c r="F165" i="3"/>
  <c r="E165" i="3"/>
  <c r="D165" i="3"/>
  <c r="F164" i="3"/>
  <c r="E164" i="3"/>
  <c r="D164" i="3"/>
  <c r="F163" i="3"/>
  <c r="E163" i="3"/>
  <c r="D163" i="3"/>
  <c r="F162" i="3"/>
  <c r="E162" i="3"/>
  <c r="D162" i="3"/>
  <c r="F161" i="3"/>
  <c r="E161" i="3"/>
  <c r="D161" i="3"/>
  <c r="F160" i="3"/>
  <c r="E160" i="3"/>
  <c r="D160" i="3"/>
  <c r="F159" i="3"/>
  <c r="E159" i="3"/>
  <c r="D159" i="3"/>
  <c r="F158" i="3"/>
  <c r="E158" i="3"/>
  <c r="D158" i="3"/>
  <c r="F157" i="3"/>
  <c r="E157" i="3"/>
  <c r="D157" i="3"/>
  <c r="F156" i="3"/>
  <c r="E156" i="3"/>
  <c r="D156" i="3"/>
  <c r="F155" i="3"/>
  <c r="E155" i="3"/>
  <c r="D155" i="3"/>
  <c r="F154" i="3"/>
  <c r="E154" i="3"/>
  <c r="D154" i="3"/>
  <c r="F153" i="3"/>
  <c r="E153" i="3"/>
  <c r="D153" i="3"/>
  <c r="F152" i="3"/>
  <c r="E152" i="3"/>
  <c r="D152" i="3"/>
  <c r="F151" i="3"/>
  <c r="E151" i="3"/>
  <c r="D151" i="3"/>
  <c r="F150" i="3"/>
  <c r="E150" i="3"/>
  <c r="D150" i="3"/>
  <c r="F149" i="3"/>
  <c r="E149" i="3"/>
  <c r="D149" i="3"/>
  <c r="F148" i="3"/>
  <c r="E148" i="3"/>
  <c r="D148" i="3"/>
  <c r="F147" i="3"/>
  <c r="E147" i="3"/>
  <c r="D147" i="3"/>
  <c r="F146" i="3"/>
  <c r="E146" i="3"/>
  <c r="D146" i="3"/>
  <c r="F145" i="3"/>
  <c r="E145" i="3"/>
  <c r="D145" i="3"/>
  <c r="F144" i="3"/>
  <c r="E144" i="3"/>
  <c r="D144" i="3"/>
  <c r="F143" i="3"/>
  <c r="E143" i="3"/>
  <c r="D143" i="3"/>
  <c r="F142" i="3"/>
  <c r="E142" i="3"/>
  <c r="D142" i="3"/>
  <c r="F141" i="3"/>
  <c r="E141" i="3"/>
  <c r="D141" i="3"/>
  <c r="F140" i="3"/>
  <c r="E140" i="3"/>
  <c r="D140" i="3"/>
  <c r="F139" i="3"/>
  <c r="E139" i="3"/>
  <c r="D139" i="3"/>
  <c r="F138" i="3"/>
  <c r="E138" i="3"/>
  <c r="D138" i="3"/>
  <c r="F137" i="3"/>
  <c r="E137" i="3"/>
  <c r="D137" i="3"/>
  <c r="F136" i="3"/>
  <c r="E136" i="3"/>
  <c r="D136" i="3"/>
  <c r="F135" i="3"/>
  <c r="E135" i="3"/>
  <c r="D135" i="3"/>
  <c r="F134" i="3"/>
  <c r="E134" i="3"/>
  <c r="D134" i="3"/>
  <c r="F133" i="3"/>
  <c r="E133" i="3"/>
  <c r="D133" i="3"/>
  <c r="F132" i="3"/>
  <c r="E132" i="3"/>
  <c r="D132" i="3"/>
  <c r="F131" i="3"/>
  <c r="E131" i="3"/>
  <c r="D131" i="3"/>
  <c r="F130" i="3"/>
  <c r="E130" i="3"/>
  <c r="D130" i="3"/>
  <c r="F129" i="3"/>
  <c r="E129" i="3"/>
  <c r="D129" i="3"/>
  <c r="F128" i="3"/>
  <c r="E128" i="3"/>
  <c r="D128" i="3"/>
  <c r="F127" i="3"/>
  <c r="E127" i="3"/>
  <c r="D127" i="3"/>
  <c r="F126" i="3"/>
  <c r="E126" i="3"/>
  <c r="D126" i="3"/>
  <c r="F125" i="3"/>
  <c r="E125" i="3"/>
  <c r="D125" i="3"/>
  <c r="F124" i="3"/>
  <c r="E124" i="3"/>
  <c r="D124" i="3"/>
  <c r="F123" i="3"/>
  <c r="E123" i="3"/>
  <c r="D123" i="3"/>
  <c r="F122" i="3"/>
  <c r="E122" i="3"/>
  <c r="D122" i="3"/>
  <c r="F121" i="3"/>
  <c r="E121" i="3"/>
  <c r="D121" i="3"/>
  <c r="F120" i="3"/>
  <c r="E120" i="3"/>
  <c r="D120" i="3"/>
  <c r="F119" i="3"/>
  <c r="E119" i="3"/>
  <c r="D119" i="3"/>
  <c r="F118" i="3"/>
  <c r="E118" i="3"/>
  <c r="D118" i="3"/>
  <c r="F117" i="3"/>
  <c r="E117" i="3"/>
  <c r="D117" i="3"/>
  <c r="F116" i="3"/>
  <c r="E116" i="3"/>
  <c r="D116" i="3"/>
  <c r="F115" i="3"/>
  <c r="E115" i="3"/>
  <c r="D115" i="3"/>
  <c r="F114" i="3"/>
  <c r="E114" i="3"/>
  <c r="D114" i="3"/>
  <c r="F113" i="3"/>
  <c r="E113" i="3"/>
  <c r="D113" i="3"/>
  <c r="F112" i="3"/>
  <c r="E112" i="3"/>
  <c r="D112" i="3"/>
  <c r="F111" i="3"/>
  <c r="E111" i="3"/>
  <c r="D111" i="3"/>
  <c r="F110" i="3"/>
  <c r="E110" i="3"/>
  <c r="D110" i="3"/>
  <c r="F109" i="3"/>
  <c r="E109" i="3"/>
  <c r="D109" i="3"/>
  <c r="F108" i="3"/>
  <c r="E108" i="3"/>
  <c r="D108" i="3"/>
  <c r="F107" i="3"/>
  <c r="E107" i="3"/>
  <c r="D107" i="3"/>
  <c r="F106" i="3"/>
  <c r="E106" i="3"/>
  <c r="D106" i="3"/>
  <c r="F105" i="3"/>
  <c r="E105" i="3"/>
  <c r="D105" i="3"/>
  <c r="F104" i="3"/>
  <c r="E104" i="3"/>
  <c r="D104" i="3"/>
  <c r="F103" i="3"/>
  <c r="E103" i="3"/>
  <c r="D103" i="3"/>
  <c r="F102" i="3"/>
  <c r="E102" i="3"/>
  <c r="D102" i="3"/>
  <c r="F101" i="3"/>
  <c r="E101" i="3"/>
  <c r="D101" i="3"/>
  <c r="F100" i="3"/>
  <c r="E100" i="3"/>
  <c r="D100" i="3"/>
  <c r="F99" i="3"/>
  <c r="E99" i="3"/>
  <c r="D99" i="3"/>
  <c r="F98" i="3"/>
  <c r="E98" i="3"/>
  <c r="D98" i="3"/>
  <c r="F97" i="3"/>
  <c r="E97" i="3"/>
  <c r="D97" i="3"/>
  <c r="F96" i="3"/>
  <c r="E96" i="3"/>
  <c r="D96" i="3"/>
  <c r="F95" i="3"/>
  <c r="E95" i="3"/>
  <c r="D95" i="3"/>
  <c r="F94" i="3"/>
  <c r="E94" i="3"/>
  <c r="D94" i="3"/>
  <c r="F93" i="3"/>
  <c r="E93" i="3"/>
  <c r="D93" i="3"/>
  <c r="F92" i="3"/>
  <c r="E92" i="3"/>
  <c r="D92" i="3"/>
  <c r="F91" i="3"/>
  <c r="E91" i="3"/>
  <c r="D91" i="3"/>
  <c r="F90" i="3"/>
  <c r="E90" i="3"/>
  <c r="D90" i="3"/>
  <c r="F89" i="3"/>
  <c r="E89" i="3"/>
  <c r="D89" i="3"/>
  <c r="F88" i="3"/>
  <c r="E88" i="3"/>
  <c r="D88" i="3"/>
  <c r="F87" i="3"/>
  <c r="E87" i="3"/>
  <c r="D87" i="3"/>
  <c r="F86" i="3"/>
  <c r="E86" i="3"/>
  <c r="D86" i="3"/>
  <c r="F85" i="3"/>
  <c r="E85" i="3"/>
  <c r="D85" i="3"/>
  <c r="F84" i="3"/>
  <c r="E84" i="3"/>
  <c r="D84" i="3"/>
  <c r="F83" i="3"/>
  <c r="E83" i="3"/>
  <c r="D83" i="3"/>
  <c r="F82" i="3"/>
  <c r="E82" i="3"/>
  <c r="D82" i="3"/>
  <c r="F81" i="3"/>
  <c r="E81" i="3"/>
  <c r="D81" i="3"/>
  <c r="F80" i="3"/>
  <c r="E80" i="3"/>
  <c r="D80" i="3"/>
  <c r="F79" i="3"/>
  <c r="E79" i="3"/>
  <c r="D79" i="3"/>
  <c r="F78" i="3"/>
  <c r="E78" i="3"/>
  <c r="D78" i="3"/>
  <c r="F77" i="3"/>
  <c r="E77" i="3"/>
  <c r="D77" i="3"/>
  <c r="F76" i="3"/>
  <c r="E76" i="3"/>
  <c r="D76" i="3"/>
  <c r="F75" i="3"/>
  <c r="E75" i="3"/>
  <c r="D75" i="3"/>
  <c r="F74" i="3"/>
  <c r="E74" i="3"/>
  <c r="D74" i="3"/>
  <c r="F73" i="3"/>
  <c r="E73" i="3"/>
  <c r="D73" i="3"/>
  <c r="F72" i="3"/>
  <c r="E72" i="3"/>
  <c r="D72" i="3"/>
  <c r="F71" i="3"/>
  <c r="E71" i="3"/>
  <c r="D71" i="3"/>
  <c r="F70" i="3"/>
  <c r="E70" i="3"/>
  <c r="D70" i="3"/>
  <c r="F69" i="3"/>
  <c r="E69" i="3"/>
  <c r="D69" i="3"/>
  <c r="F68" i="3"/>
  <c r="E68" i="3"/>
  <c r="D68" i="3"/>
  <c r="F67" i="3"/>
  <c r="E67" i="3"/>
  <c r="D67" i="3"/>
  <c r="F66" i="3"/>
  <c r="E66" i="3"/>
  <c r="D66" i="3"/>
  <c r="F65" i="3"/>
  <c r="E65" i="3"/>
  <c r="D65" i="3"/>
  <c r="F64" i="3"/>
  <c r="E64" i="3"/>
  <c r="D64" i="3"/>
  <c r="F63" i="3"/>
  <c r="E63" i="3"/>
  <c r="D63" i="3"/>
  <c r="F62" i="3"/>
  <c r="E62" i="3"/>
  <c r="D62" i="3"/>
  <c r="F61" i="3"/>
  <c r="E61" i="3"/>
  <c r="D61" i="3"/>
  <c r="F60" i="3"/>
  <c r="E60" i="3"/>
  <c r="D60" i="3"/>
  <c r="F59" i="3"/>
  <c r="E59" i="3"/>
  <c r="D59" i="3"/>
  <c r="F58" i="3"/>
  <c r="E58" i="3"/>
  <c r="D58" i="3"/>
  <c r="F57" i="3"/>
  <c r="E57" i="3"/>
  <c r="D57" i="3"/>
  <c r="F56" i="3"/>
  <c r="E56" i="3"/>
  <c r="D56" i="3"/>
  <c r="F55" i="3"/>
  <c r="E55" i="3"/>
  <c r="D55" i="3"/>
  <c r="F54" i="3"/>
  <c r="E54" i="3"/>
  <c r="D54" i="3"/>
  <c r="F53" i="3"/>
  <c r="E53" i="3"/>
  <c r="D53" i="3"/>
  <c r="F52" i="3"/>
  <c r="E52" i="3"/>
  <c r="D52" i="3"/>
  <c r="F51" i="3"/>
  <c r="E51" i="3"/>
  <c r="D51" i="3"/>
  <c r="F50" i="3"/>
  <c r="E50" i="3"/>
  <c r="D50" i="3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C2" i="3"/>
  <c r="D281" i="6"/>
  <c r="E281" i="6"/>
  <c r="F281" i="6"/>
  <c r="D282" i="6"/>
  <c r="E282" i="6"/>
  <c r="F282" i="6"/>
  <c r="D283" i="6"/>
  <c r="E283" i="6"/>
  <c r="F283" i="6"/>
  <c r="D284" i="6"/>
  <c r="E284" i="6"/>
  <c r="F284" i="6"/>
  <c r="D285" i="6"/>
  <c r="E285" i="6"/>
  <c r="F285" i="6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F4" i="8"/>
  <c r="E4" i="8"/>
  <c r="D4" i="8"/>
  <c r="F3" i="8"/>
  <c r="E3" i="8"/>
  <c r="D3" i="8"/>
  <c r="C2" i="8"/>
  <c r="F600" i="7"/>
  <c r="E600" i="7"/>
  <c r="D600" i="7"/>
  <c r="F599" i="7"/>
  <c r="E599" i="7"/>
  <c r="D599" i="7"/>
  <c r="F598" i="7"/>
  <c r="E598" i="7"/>
  <c r="D598" i="7"/>
  <c r="F597" i="7"/>
  <c r="E597" i="7"/>
  <c r="D597" i="7"/>
  <c r="F596" i="7"/>
  <c r="E596" i="7"/>
  <c r="D596" i="7"/>
  <c r="F595" i="7"/>
  <c r="E595" i="7"/>
  <c r="D595" i="7"/>
  <c r="F594" i="7"/>
  <c r="E594" i="7"/>
  <c r="D594" i="7"/>
  <c r="F593" i="7"/>
  <c r="E593" i="7"/>
  <c r="D593" i="7"/>
  <c r="F592" i="7"/>
  <c r="E592" i="7"/>
  <c r="D592" i="7"/>
  <c r="F591" i="7"/>
  <c r="E591" i="7"/>
  <c r="D591" i="7"/>
  <c r="F590" i="7"/>
  <c r="E590" i="7"/>
  <c r="D590" i="7"/>
  <c r="F589" i="7"/>
  <c r="E589" i="7"/>
  <c r="D589" i="7"/>
  <c r="F588" i="7"/>
  <c r="E588" i="7"/>
  <c r="D588" i="7"/>
  <c r="F587" i="7"/>
  <c r="E587" i="7"/>
  <c r="D587" i="7"/>
  <c r="F586" i="7"/>
  <c r="E586" i="7"/>
  <c r="D586" i="7"/>
  <c r="F585" i="7"/>
  <c r="E585" i="7"/>
  <c r="D585" i="7"/>
  <c r="F584" i="7"/>
  <c r="E584" i="7"/>
  <c r="D584" i="7"/>
  <c r="F583" i="7"/>
  <c r="E583" i="7"/>
  <c r="D583" i="7"/>
  <c r="F582" i="7"/>
  <c r="E582" i="7"/>
  <c r="D582" i="7"/>
  <c r="F581" i="7"/>
  <c r="E581" i="7"/>
  <c r="D581" i="7"/>
  <c r="F580" i="7"/>
  <c r="E580" i="7"/>
  <c r="D580" i="7"/>
  <c r="F579" i="7"/>
  <c r="E579" i="7"/>
  <c r="D579" i="7"/>
  <c r="F578" i="7"/>
  <c r="E578" i="7"/>
  <c r="D578" i="7"/>
  <c r="F577" i="7"/>
  <c r="E577" i="7"/>
  <c r="D577" i="7"/>
  <c r="F576" i="7"/>
  <c r="E576" i="7"/>
  <c r="D576" i="7"/>
  <c r="F575" i="7"/>
  <c r="E575" i="7"/>
  <c r="D575" i="7"/>
  <c r="F574" i="7"/>
  <c r="E574" i="7"/>
  <c r="D574" i="7"/>
  <c r="F573" i="7"/>
  <c r="E573" i="7"/>
  <c r="D573" i="7"/>
  <c r="F572" i="7"/>
  <c r="E572" i="7"/>
  <c r="D572" i="7"/>
  <c r="F571" i="7"/>
  <c r="E571" i="7"/>
  <c r="D571" i="7"/>
  <c r="F570" i="7"/>
  <c r="E570" i="7"/>
  <c r="D570" i="7"/>
  <c r="F569" i="7"/>
  <c r="E569" i="7"/>
  <c r="D569" i="7"/>
  <c r="F568" i="7"/>
  <c r="E568" i="7"/>
  <c r="D568" i="7"/>
  <c r="F567" i="7"/>
  <c r="E567" i="7"/>
  <c r="D567" i="7"/>
  <c r="F566" i="7"/>
  <c r="E566" i="7"/>
  <c r="D566" i="7"/>
  <c r="F565" i="7"/>
  <c r="E565" i="7"/>
  <c r="D565" i="7"/>
  <c r="F564" i="7"/>
  <c r="E564" i="7"/>
  <c r="D564" i="7"/>
  <c r="F563" i="7"/>
  <c r="E563" i="7"/>
  <c r="D563" i="7"/>
  <c r="F562" i="7"/>
  <c r="E562" i="7"/>
  <c r="D562" i="7"/>
  <c r="F561" i="7"/>
  <c r="E561" i="7"/>
  <c r="D561" i="7"/>
  <c r="F560" i="7"/>
  <c r="E560" i="7"/>
  <c r="D560" i="7"/>
  <c r="F559" i="7"/>
  <c r="E559" i="7"/>
  <c r="D559" i="7"/>
  <c r="F558" i="7"/>
  <c r="E558" i="7"/>
  <c r="D558" i="7"/>
  <c r="F557" i="7"/>
  <c r="E557" i="7"/>
  <c r="D557" i="7"/>
  <c r="F556" i="7"/>
  <c r="E556" i="7"/>
  <c r="D556" i="7"/>
  <c r="F555" i="7"/>
  <c r="E555" i="7"/>
  <c r="D555" i="7"/>
  <c r="F554" i="7"/>
  <c r="E554" i="7"/>
  <c r="D554" i="7"/>
  <c r="F553" i="7"/>
  <c r="E553" i="7"/>
  <c r="D553" i="7"/>
  <c r="F552" i="7"/>
  <c r="E552" i="7"/>
  <c r="D552" i="7"/>
  <c r="F551" i="7"/>
  <c r="E551" i="7"/>
  <c r="D551" i="7"/>
  <c r="F550" i="7"/>
  <c r="E550" i="7"/>
  <c r="D550" i="7"/>
  <c r="F549" i="7"/>
  <c r="E549" i="7"/>
  <c r="D549" i="7"/>
  <c r="F548" i="7"/>
  <c r="E548" i="7"/>
  <c r="D548" i="7"/>
  <c r="F547" i="7"/>
  <c r="E547" i="7"/>
  <c r="D547" i="7"/>
  <c r="F546" i="7"/>
  <c r="E546" i="7"/>
  <c r="D546" i="7"/>
  <c r="F545" i="7"/>
  <c r="E545" i="7"/>
  <c r="D545" i="7"/>
  <c r="F544" i="7"/>
  <c r="E544" i="7"/>
  <c r="D544" i="7"/>
  <c r="F543" i="7"/>
  <c r="E543" i="7"/>
  <c r="D543" i="7"/>
  <c r="F542" i="7"/>
  <c r="E542" i="7"/>
  <c r="D542" i="7"/>
  <c r="F541" i="7"/>
  <c r="E541" i="7"/>
  <c r="D541" i="7"/>
  <c r="F540" i="7"/>
  <c r="E540" i="7"/>
  <c r="D540" i="7"/>
  <c r="F539" i="7"/>
  <c r="E539" i="7"/>
  <c r="D539" i="7"/>
  <c r="F538" i="7"/>
  <c r="E538" i="7"/>
  <c r="D538" i="7"/>
  <c r="F537" i="7"/>
  <c r="E537" i="7"/>
  <c r="D537" i="7"/>
  <c r="F536" i="7"/>
  <c r="E536" i="7"/>
  <c r="D536" i="7"/>
  <c r="F535" i="7"/>
  <c r="E535" i="7"/>
  <c r="D535" i="7"/>
  <c r="F534" i="7"/>
  <c r="E534" i="7"/>
  <c r="D534" i="7"/>
  <c r="F533" i="7"/>
  <c r="E533" i="7"/>
  <c r="D533" i="7"/>
  <c r="F532" i="7"/>
  <c r="E532" i="7"/>
  <c r="D532" i="7"/>
  <c r="F531" i="7"/>
  <c r="E531" i="7"/>
  <c r="D531" i="7"/>
  <c r="F530" i="7"/>
  <c r="E530" i="7"/>
  <c r="D530" i="7"/>
  <c r="F529" i="7"/>
  <c r="E529" i="7"/>
  <c r="D529" i="7"/>
  <c r="F528" i="7"/>
  <c r="E528" i="7"/>
  <c r="D528" i="7"/>
  <c r="F527" i="7"/>
  <c r="E527" i="7"/>
  <c r="D527" i="7"/>
  <c r="F526" i="7"/>
  <c r="E526" i="7"/>
  <c r="D526" i="7"/>
  <c r="F525" i="7"/>
  <c r="E525" i="7"/>
  <c r="D525" i="7"/>
  <c r="F524" i="7"/>
  <c r="E524" i="7"/>
  <c r="D524" i="7"/>
  <c r="F523" i="7"/>
  <c r="E523" i="7"/>
  <c r="D523" i="7"/>
  <c r="F522" i="7"/>
  <c r="E522" i="7"/>
  <c r="D522" i="7"/>
  <c r="F521" i="7"/>
  <c r="E521" i="7"/>
  <c r="D521" i="7"/>
  <c r="F520" i="7"/>
  <c r="E520" i="7"/>
  <c r="D520" i="7"/>
  <c r="F519" i="7"/>
  <c r="E519" i="7"/>
  <c r="D519" i="7"/>
  <c r="F518" i="7"/>
  <c r="E518" i="7"/>
  <c r="D518" i="7"/>
  <c r="F517" i="7"/>
  <c r="E517" i="7"/>
  <c r="D517" i="7"/>
  <c r="F516" i="7"/>
  <c r="E516" i="7"/>
  <c r="D516" i="7"/>
  <c r="F515" i="7"/>
  <c r="E515" i="7"/>
  <c r="D515" i="7"/>
  <c r="F514" i="7"/>
  <c r="E514" i="7"/>
  <c r="D514" i="7"/>
  <c r="F513" i="7"/>
  <c r="E513" i="7"/>
  <c r="D513" i="7"/>
  <c r="F512" i="7"/>
  <c r="E512" i="7"/>
  <c r="D512" i="7"/>
  <c r="F511" i="7"/>
  <c r="E511" i="7"/>
  <c r="D511" i="7"/>
  <c r="F510" i="7"/>
  <c r="E510" i="7"/>
  <c r="D510" i="7"/>
  <c r="F509" i="7"/>
  <c r="E509" i="7"/>
  <c r="D509" i="7"/>
  <c r="F508" i="7"/>
  <c r="E508" i="7"/>
  <c r="D508" i="7"/>
  <c r="F507" i="7"/>
  <c r="E507" i="7"/>
  <c r="D507" i="7"/>
  <c r="F506" i="7"/>
  <c r="E506" i="7"/>
  <c r="D506" i="7"/>
  <c r="F505" i="7"/>
  <c r="E505" i="7"/>
  <c r="D505" i="7"/>
  <c r="F504" i="7"/>
  <c r="E504" i="7"/>
  <c r="D504" i="7"/>
  <c r="F503" i="7"/>
  <c r="E503" i="7"/>
  <c r="D503" i="7"/>
  <c r="F502" i="7"/>
  <c r="E502" i="7"/>
  <c r="D502" i="7"/>
  <c r="F501" i="7"/>
  <c r="E501" i="7"/>
  <c r="D501" i="7"/>
  <c r="F500" i="7"/>
  <c r="E500" i="7"/>
  <c r="D500" i="7"/>
  <c r="F499" i="7"/>
  <c r="E499" i="7"/>
  <c r="D499" i="7"/>
  <c r="F498" i="7"/>
  <c r="E498" i="7"/>
  <c r="D498" i="7"/>
  <c r="F497" i="7"/>
  <c r="E497" i="7"/>
  <c r="D497" i="7"/>
  <c r="F496" i="7"/>
  <c r="E496" i="7"/>
  <c r="D496" i="7"/>
  <c r="F495" i="7"/>
  <c r="E495" i="7"/>
  <c r="D495" i="7"/>
  <c r="F494" i="7"/>
  <c r="E494" i="7"/>
  <c r="D494" i="7"/>
  <c r="F493" i="7"/>
  <c r="E493" i="7"/>
  <c r="D493" i="7"/>
  <c r="F492" i="7"/>
  <c r="E492" i="7"/>
  <c r="D492" i="7"/>
  <c r="F491" i="7"/>
  <c r="E491" i="7"/>
  <c r="D491" i="7"/>
  <c r="F490" i="7"/>
  <c r="E490" i="7"/>
  <c r="D490" i="7"/>
  <c r="F489" i="7"/>
  <c r="E489" i="7"/>
  <c r="D489" i="7"/>
  <c r="F488" i="7"/>
  <c r="E488" i="7"/>
  <c r="D488" i="7"/>
  <c r="F487" i="7"/>
  <c r="E487" i="7"/>
  <c r="D487" i="7"/>
  <c r="F486" i="7"/>
  <c r="E486" i="7"/>
  <c r="D486" i="7"/>
  <c r="F485" i="7"/>
  <c r="E485" i="7"/>
  <c r="D485" i="7"/>
  <c r="F484" i="7"/>
  <c r="E484" i="7"/>
  <c r="D484" i="7"/>
  <c r="F483" i="7"/>
  <c r="E483" i="7"/>
  <c r="D483" i="7"/>
  <c r="F482" i="7"/>
  <c r="E482" i="7"/>
  <c r="D482" i="7"/>
  <c r="F481" i="7"/>
  <c r="E481" i="7"/>
  <c r="D481" i="7"/>
  <c r="F480" i="7"/>
  <c r="E480" i="7"/>
  <c r="D480" i="7"/>
  <c r="F479" i="7"/>
  <c r="E479" i="7"/>
  <c r="D479" i="7"/>
  <c r="F478" i="7"/>
  <c r="E478" i="7"/>
  <c r="D478" i="7"/>
  <c r="F477" i="7"/>
  <c r="E477" i="7"/>
  <c r="D477" i="7"/>
  <c r="F476" i="7"/>
  <c r="E476" i="7"/>
  <c r="D476" i="7"/>
  <c r="F475" i="7"/>
  <c r="E475" i="7"/>
  <c r="D475" i="7"/>
  <c r="F474" i="7"/>
  <c r="E474" i="7"/>
  <c r="D474" i="7"/>
  <c r="F473" i="7"/>
  <c r="E473" i="7"/>
  <c r="D473" i="7"/>
  <c r="F472" i="7"/>
  <c r="E472" i="7"/>
  <c r="D472" i="7"/>
  <c r="F471" i="7"/>
  <c r="E471" i="7"/>
  <c r="D471" i="7"/>
  <c r="F470" i="7"/>
  <c r="E470" i="7"/>
  <c r="D470" i="7"/>
  <c r="F469" i="7"/>
  <c r="E469" i="7"/>
  <c r="D469" i="7"/>
  <c r="F468" i="7"/>
  <c r="E468" i="7"/>
  <c r="D468" i="7"/>
  <c r="F467" i="7"/>
  <c r="E467" i="7"/>
  <c r="D467" i="7"/>
  <c r="F466" i="7"/>
  <c r="E466" i="7"/>
  <c r="D466" i="7"/>
  <c r="F465" i="7"/>
  <c r="E465" i="7"/>
  <c r="D465" i="7"/>
  <c r="F464" i="7"/>
  <c r="E464" i="7"/>
  <c r="D464" i="7"/>
  <c r="F463" i="7"/>
  <c r="E463" i="7"/>
  <c r="D463" i="7"/>
  <c r="F462" i="7"/>
  <c r="E462" i="7"/>
  <c r="D462" i="7"/>
  <c r="F461" i="7"/>
  <c r="E461" i="7"/>
  <c r="D461" i="7"/>
  <c r="F460" i="7"/>
  <c r="E460" i="7"/>
  <c r="D460" i="7"/>
  <c r="F459" i="7"/>
  <c r="E459" i="7"/>
  <c r="D459" i="7"/>
  <c r="F458" i="7"/>
  <c r="E458" i="7"/>
  <c r="D458" i="7"/>
  <c r="F457" i="7"/>
  <c r="E457" i="7"/>
  <c r="D457" i="7"/>
  <c r="F456" i="7"/>
  <c r="E456" i="7"/>
  <c r="D456" i="7"/>
  <c r="F455" i="7"/>
  <c r="E455" i="7"/>
  <c r="D455" i="7"/>
  <c r="F454" i="7"/>
  <c r="E454" i="7"/>
  <c r="D454" i="7"/>
  <c r="F453" i="7"/>
  <c r="E453" i="7"/>
  <c r="D453" i="7"/>
  <c r="F452" i="7"/>
  <c r="E452" i="7"/>
  <c r="D452" i="7"/>
  <c r="F451" i="7"/>
  <c r="E451" i="7"/>
  <c r="D451" i="7"/>
  <c r="F450" i="7"/>
  <c r="E450" i="7"/>
  <c r="D450" i="7"/>
  <c r="F449" i="7"/>
  <c r="E449" i="7"/>
  <c r="D449" i="7"/>
  <c r="F448" i="7"/>
  <c r="E448" i="7"/>
  <c r="D448" i="7"/>
  <c r="F447" i="7"/>
  <c r="E447" i="7"/>
  <c r="D447" i="7"/>
  <c r="F446" i="7"/>
  <c r="E446" i="7"/>
  <c r="D446" i="7"/>
  <c r="F445" i="7"/>
  <c r="E445" i="7"/>
  <c r="D445" i="7"/>
  <c r="F444" i="7"/>
  <c r="E444" i="7"/>
  <c r="D444" i="7"/>
  <c r="F443" i="7"/>
  <c r="E443" i="7"/>
  <c r="D443" i="7"/>
  <c r="F442" i="7"/>
  <c r="E442" i="7"/>
  <c r="D442" i="7"/>
  <c r="F441" i="7"/>
  <c r="E441" i="7"/>
  <c r="D441" i="7"/>
  <c r="F440" i="7"/>
  <c r="E440" i="7"/>
  <c r="D440" i="7"/>
  <c r="F439" i="7"/>
  <c r="E439" i="7"/>
  <c r="D439" i="7"/>
  <c r="F438" i="7"/>
  <c r="E438" i="7"/>
  <c r="D438" i="7"/>
  <c r="F437" i="7"/>
  <c r="E437" i="7"/>
  <c r="D437" i="7"/>
  <c r="F436" i="7"/>
  <c r="E436" i="7"/>
  <c r="D436" i="7"/>
  <c r="F435" i="7"/>
  <c r="E435" i="7"/>
  <c r="D435" i="7"/>
  <c r="F434" i="7"/>
  <c r="E434" i="7"/>
  <c r="D434" i="7"/>
  <c r="F433" i="7"/>
  <c r="E433" i="7"/>
  <c r="D433" i="7"/>
  <c r="F432" i="7"/>
  <c r="E432" i="7"/>
  <c r="D432" i="7"/>
  <c r="F431" i="7"/>
  <c r="E431" i="7"/>
  <c r="D431" i="7"/>
  <c r="F430" i="7"/>
  <c r="E430" i="7"/>
  <c r="D430" i="7"/>
  <c r="F429" i="7"/>
  <c r="E429" i="7"/>
  <c r="D429" i="7"/>
  <c r="F428" i="7"/>
  <c r="E428" i="7"/>
  <c r="D428" i="7"/>
  <c r="F427" i="7"/>
  <c r="E427" i="7"/>
  <c r="D427" i="7"/>
  <c r="F426" i="7"/>
  <c r="E426" i="7"/>
  <c r="D426" i="7"/>
  <c r="F425" i="7"/>
  <c r="E425" i="7"/>
  <c r="D425" i="7"/>
  <c r="F424" i="7"/>
  <c r="E424" i="7"/>
  <c r="D424" i="7"/>
  <c r="F423" i="7"/>
  <c r="E423" i="7"/>
  <c r="D423" i="7"/>
  <c r="F422" i="7"/>
  <c r="E422" i="7"/>
  <c r="D422" i="7"/>
  <c r="F421" i="7"/>
  <c r="E421" i="7"/>
  <c r="D421" i="7"/>
  <c r="F420" i="7"/>
  <c r="E420" i="7"/>
  <c r="D420" i="7"/>
  <c r="F419" i="7"/>
  <c r="E419" i="7"/>
  <c r="D419" i="7"/>
  <c r="F418" i="7"/>
  <c r="E418" i="7"/>
  <c r="D418" i="7"/>
  <c r="F417" i="7"/>
  <c r="E417" i="7"/>
  <c r="D417" i="7"/>
  <c r="F416" i="7"/>
  <c r="E416" i="7"/>
  <c r="D416" i="7"/>
  <c r="F415" i="7"/>
  <c r="E415" i="7"/>
  <c r="D415" i="7"/>
  <c r="F414" i="7"/>
  <c r="E414" i="7"/>
  <c r="D414" i="7"/>
  <c r="F413" i="7"/>
  <c r="E413" i="7"/>
  <c r="D413" i="7"/>
  <c r="F412" i="7"/>
  <c r="E412" i="7"/>
  <c r="D412" i="7"/>
  <c r="F411" i="7"/>
  <c r="E411" i="7"/>
  <c r="D411" i="7"/>
  <c r="F410" i="7"/>
  <c r="E410" i="7"/>
  <c r="D410" i="7"/>
  <c r="F409" i="7"/>
  <c r="E409" i="7"/>
  <c r="D409" i="7"/>
  <c r="F408" i="7"/>
  <c r="E408" i="7"/>
  <c r="D408" i="7"/>
  <c r="F407" i="7"/>
  <c r="E407" i="7"/>
  <c r="D407" i="7"/>
  <c r="F406" i="7"/>
  <c r="E406" i="7"/>
  <c r="D406" i="7"/>
  <c r="F405" i="7"/>
  <c r="E405" i="7"/>
  <c r="D405" i="7"/>
  <c r="F404" i="7"/>
  <c r="E404" i="7"/>
  <c r="D404" i="7"/>
  <c r="F403" i="7"/>
  <c r="E403" i="7"/>
  <c r="D403" i="7"/>
  <c r="F402" i="7"/>
  <c r="E402" i="7"/>
  <c r="D402" i="7"/>
  <c r="F401" i="7"/>
  <c r="E401" i="7"/>
  <c r="D401" i="7"/>
  <c r="F400" i="7"/>
  <c r="E400" i="7"/>
  <c r="D400" i="7"/>
  <c r="F399" i="7"/>
  <c r="E399" i="7"/>
  <c r="D399" i="7"/>
  <c r="F398" i="7"/>
  <c r="E398" i="7"/>
  <c r="D398" i="7"/>
  <c r="F397" i="7"/>
  <c r="E397" i="7"/>
  <c r="D397" i="7"/>
  <c r="F396" i="7"/>
  <c r="E396" i="7"/>
  <c r="D396" i="7"/>
  <c r="F395" i="7"/>
  <c r="E395" i="7"/>
  <c r="D395" i="7"/>
  <c r="F394" i="7"/>
  <c r="E394" i="7"/>
  <c r="D394" i="7"/>
  <c r="F393" i="7"/>
  <c r="E393" i="7"/>
  <c r="D393" i="7"/>
  <c r="F392" i="7"/>
  <c r="E392" i="7"/>
  <c r="D392" i="7"/>
  <c r="F391" i="7"/>
  <c r="E391" i="7"/>
  <c r="D391" i="7"/>
  <c r="F390" i="7"/>
  <c r="E390" i="7"/>
  <c r="D390" i="7"/>
  <c r="F389" i="7"/>
  <c r="E389" i="7"/>
  <c r="D389" i="7"/>
  <c r="F388" i="7"/>
  <c r="E388" i="7"/>
  <c r="D388" i="7"/>
  <c r="F387" i="7"/>
  <c r="E387" i="7"/>
  <c r="D387" i="7"/>
  <c r="F386" i="7"/>
  <c r="E386" i="7"/>
  <c r="D386" i="7"/>
  <c r="F385" i="7"/>
  <c r="E385" i="7"/>
  <c r="D385" i="7"/>
  <c r="F384" i="7"/>
  <c r="E384" i="7"/>
  <c r="D384" i="7"/>
  <c r="F383" i="7"/>
  <c r="E383" i="7"/>
  <c r="D383" i="7"/>
  <c r="F382" i="7"/>
  <c r="E382" i="7"/>
  <c r="D382" i="7"/>
  <c r="F381" i="7"/>
  <c r="E381" i="7"/>
  <c r="D381" i="7"/>
  <c r="F380" i="7"/>
  <c r="E380" i="7"/>
  <c r="D380" i="7"/>
  <c r="F379" i="7"/>
  <c r="E379" i="7"/>
  <c r="D379" i="7"/>
  <c r="F378" i="7"/>
  <c r="E378" i="7"/>
  <c r="D378" i="7"/>
  <c r="F377" i="7"/>
  <c r="E377" i="7"/>
  <c r="D377" i="7"/>
  <c r="F376" i="7"/>
  <c r="E376" i="7"/>
  <c r="D376" i="7"/>
  <c r="F375" i="7"/>
  <c r="E375" i="7"/>
  <c r="D375" i="7"/>
  <c r="F374" i="7"/>
  <c r="E374" i="7"/>
  <c r="D374" i="7"/>
  <c r="F373" i="7"/>
  <c r="E373" i="7"/>
  <c r="D373" i="7"/>
  <c r="F372" i="7"/>
  <c r="E372" i="7"/>
  <c r="D372" i="7"/>
  <c r="F371" i="7"/>
  <c r="E371" i="7"/>
  <c r="D371" i="7"/>
  <c r="F370" i="7"/>
  <c r="E370" i="7"/>
  <c r="D370" i="7"/>
  <c r="F369" i="7"/>
  <c r="E369" i="7"/>
  <c r="D369" i="7"/>
  <c r="F368" i="7"/>
  <c r="E368" i="7"/>
  <c r="D368" i="7"/>
  <c r="F367" i="7"/>
  <c r="E367" i="7"/>
  <c r="D367" i="7"/>
  <c r="F366" i="7"/>
  <c r="E366" i="7"/>
  <c r="D366" i="7"/>
  <c r="F365" i="7"/>
  <c r="E365" i="7"/>
  <c r="D365" i="7"/>
  <c r="F364" i="7"/>
  <c r="E364" i="7"/>
  <c r="D364" i="7"/>
  <c r="F363" i="7"/>
  <c r="E363" i="7"/>
  <c r="D363" i="7"/>
  <c r="F362" i="7"/>
  <c r="E362" i="7"/>
  <c r="D362" i="7"/>
  <c r="F361" i="7"/>
  <c r="E361" i="7"/>
  <c r="D361" i="7"/>
  <c r="F360" i="7"/>
  <c r="E360" i="7"/>
  <c r="D360" i="7"/>
  <c r="F359" i="7"/>
  <c r="E359" i="7"/>
  <c r="D359" i="7"/>
  <c r="F358" i="7"/>
  <c r="E358" i="7"/>
  <c r="D358" i="7"/>
  <c r="F357" i="7"/>
  <c r="E357" i="7"/>
  <c r="D357" i="7"/>
  <c r="F356" i="7"/>
  <c r="E356" i="7"/>
  <c r="D356" i="7"/>
  <c r="F355" i="7"/>
  <c r="E355" i="7"/>
  <c r="D355" i="7"/>
  <c r="F354" i="7"/>
  <c r="E354" i="7"/>
  <c r="D354" i="7"/>
  <c r="F353" i="7"/>
  <c r="E353" i="7"/>
  <c r="D353" i="7"/>
  <c r="F352" i="7"/>
  <c r="E352" i="7"/>
  <c r="D352" i="7"/>
  <c r="F351" i="7"/>
  <c r="E351" i="7"/>
  <c r="D351" i="7"/>
  <c r="F350" i="7"/>
  <c r="E350" i="7"/>
  <c r="D350" i="7"/>
  <c r="F349" i="7"/>
  <c r="E349" i="7"/>
  <c r="D349" i="7"/>
  <c r="F348" i="7"/>
  <c r="E348" i="7"/>
  <c r="D348" i="7"/>
  <c r="F347" i="7"/>
  <c r="E347" i="7"/>
  <c r="D347" i="7"/>
  <c r="F346" i="7"/>
  <c r="E346" i="7"/>
  <c r="D346" i="7"/>
  <c r="F345" i="7"/>
  <c r="E345" i="7"/>
  <c r="D345" i="7"/>
  <c r="F344" i="7"/>
  <c r="E344" i="7"/>
  <c r="D344" i="7"/>
  <c r="F343" i="7"/>
  <c r="E343" i="7"/>
  <c r="D343" i="7"/>
  <c r="F342" i="7"/>
  <c r="E342" i="7"/>
  <c r="D342" i="7"/>
  <c r="F341" i="7"/>
  <c r="E341" i="7"/>
  <c r="D341" i="7"/>
  <c r="F340" i="7"/>
  <c r="E340" i="7"/>
  <c r="D340" i="7"/>
  <c r="F339" i="7"/>
  <c r="E339" i="7"/>
  <c r="D339" i="7"/>
  <c r="F338" i="7"/>
  <c r="E338" i="7"/>
  <c r="D338" i="7"/>
  <c r="F337" i="7"/>
  <c r="E337" i="7"/>
  <c r="D337" i="7"/>
  <c r="F336" i="7"/>
  <c r="E336" i="7"/>
  <c r="D336" i="7"/>
  <c r="F335" i="7"/>
  <c r="E335" i="7"/>
  <c r="D335" i="7"/>
  <c r="F334" i="7"/>
  <c r="E334" i="7"/>
  <c r="D334" i="7"/>
  <c r="F333" i="7"/>
  <c r="E333" i="7"/>
  <c r="D333" i="7"/>
  <c r="F332" i="7"/>
  <c r="E332" i="7"/>
  <c r="D332" i="7"/>
  <c r="F331" i="7"/>
  <c r="E331" i="7"/>
  <c r="D331" i="7"/>
  <c r="F330" i="7"/>
  <c r="E330" i="7"/>
  <c r="D330" i="7"/>
  <c r="F329" i="7"/>
  <c r="E329" i="7"/>
  <c r="D329" i="7"/>
  <c r="F328" i="7"/>
  <c r="E328" i="7"/>
  <c r="D328" i="7"/>
  <c r="F327" i="7"/>
  <c r="E327" i="7"/>
  <c r="D327" i="7"/>
  <c r="F326" i="7"/>
  <c r="E326" i="7"/>
  <c r="D326" i="7"/>
  <c r="F325" i="7"/>
  <c r="E325" i="7"/>
  <c r="D325" i="7"/>
  <c r="F324" i="7"/>
  <c r="E324" i="7"/>
  <c r="D324" i="7"/>
  <c r="F323" i="7"/>
  <c r="E323" i="7"/>
  <c r="D323" i="7"/>
  <c r="F322" i="7"/>
  <c r="E322" i="7"/>
  <c r="D322" i="7"/>
  <c r="F321" i="7"/>
  <c r="E321" i="7"/>
  <c r="D321" i="7"/>
  <c r="F320" i="7"/>
  <c r="E320" i="7"/>
  <c r="D320" i="7"/>
  <c r="F319" i="7"/>
  <c r="E319" i="7"/>
  <c r="D319" i="7"/>
  <c r="F318" i="7"/>
  <c r="E318" i="7"/>
  <c r="D318" i="7"/>
  <c r="F317" i="7"/>
  <c r="E317" i="7"/>
  <c r="D317" i="7"/>
  <c r="F316" i="7"/>
  <c r="E316" i="7"/>
  <c r="D316" i="7"/>
  <c r="F315" i="7"/>
  <c r="E315" i="7"/>
  <c r="D315" i="7"/>
  <c r="F314" i="7"/>
  <c r="E314" i="7"/>
  <c r="D314" i="7"/>
  <c r="F313" i="7"/>
  <c r="E313" i="7"/>
  <c r="D313" i="7"/>
  <c r="F312" i="7"/>
  <c r="E312" i="7"/>
  <c r="D312" i="7"/>
  <c r="F311" i="7"/>
  <c r="E311" i="7"/>
  <c r="D311" i="7"/>
  <c r="F310" i="7"/>
  <c r="E310" i="7"/>
  <c r="D310" i="7"/>
  <c r="F309" i="7"/>
  <c r="E309" i="7"/>
  <c r="D309" i="7"/>
  <c r="F308" i="7"/>
  <c r="E308" i="7"/>
  <c r="D308" i="7"/>
  <c r="F307" i="7"/>
  <c r="E307" i="7"/>
  <c r="D307" i="7"/>
  <c r="F306" i="7"/>
  <c r="E306" i="7"/>
  <c r="D306" i="7"/>
  <c r="F305" i="7"/>
  <c r="E305" i="7"/>
  <c r="D305" i="7"/>
  <c r="F304" i="7"/>
  <c r="E304" i="7"/>
  <c r="D304" i="7"/>
  <c r="F303" i="7"/>
  <c r="E303" i="7"/>
  <c r="D303" i="7"/>
  <c r="F302" i="7"/>
  <c r="E302" i="7"/>
  <c r="D302" i="7"/>
  <c r="F301" i="7"/>
  <c r="E301" i="7"/>
  <c r="D301" i="7"/>
  <c r="F300" i="7"/>
  <c r="E300" i="7"/>
  <c r="D300" i="7"/>
  <c r="F299" i="7"/>
  <c r="E299" i="7"/>
  <c r="D299" i="7"/>
  <c r="F298" i="7"/>
  <c r="E298" i="7"/>
  <c r="D298" i="7"/>
  <c r="F297" i="7"/>
  <c r="E297" i="7"/>
  <c r="D297" i="7"/>
  <c r="F296" i="7"/>
  <c r="E296" i="7"/>
  <c r="D296" i="7"/>
  <c r="F295" i="7"/>
  <c r="E295" i="7"/>
  <c r="D295" i="7"/>
  <c r="F294" i="7"/>
  <c r="E294" i="7"/>
  <c r="D294" i="7"/>
  <c r="F293" i="7"/>
  <c r="E293" i="7"/>
  <c r="D293" i="7"/>
  <c r="F292" i="7"/>
  <c r="E292" i="7"/>
  <c r="D292" i="7"/>
  <c r="F291" i="7"/>
  <c r="E291" i="7"/>
  <c r="D291" i="7"/>
  <c r="F290" i="7"/>
  <c r="E290" i="7"/>
  <c r="D290" i="7"/>
  <c r="F289" i="7"/>
  <c r="E289" i="7"/>
  <c r="D289" i="7"/>
  <c r="F288" i="7"/>
  <c r="E288" i="7"/>
  <c r="D288" i="7"/>
  <c r="F287" i="7"/>
  <c r="E287" i="7"/>
  <c r="D287" i="7"/>
  <c r="F286" i="7"/>
  <c r="E286" i="7"/>
  <c r="D286" i="7"/>
  <c r="F285" i="7"/>
  <c r="E285" i="7"/>
  <c r="D285" i="7"/>
  <c r="F284" i="7"/>
  <c r="E284" i="7"/>
  <c r="D284" i="7"/>
  <c r="F283" i="7"/>
  <c r="E283" i="7"/>
  <c r="D283" i="7"/>
  <c r="F282" i="7"/>
  <c r="E282" i="7"/>
  <c r="D282" i="7"/>
  <c r="F281" i="7"/>
  <c r="E281" i="7"/>
  <c r="D281" i="7"/>
  <c r="F280" i="7"/>
  <c r="E280" i="7"/>
  <c r="D280" i="7"/>
  <c r="F279" i="7"/>
  <c r="E279" i="7"/>
  <c r="D279" i="7"/>
  <c r="F278" i="7"/>
  <c r="E278" i="7"/>
  <c r="D278" i="7"/>
  <c r="F277" i="7"/>
  <c r="E277" i="7"/>
  <c r="D277" i="7"/>
  <c r="F276" i="7"/>
  <c r="E276" i="7"/>
  <c r="D276" i="7"/>
  <c r="F275" i="7"/>
  <c r="E275" i="7"/>
  <c r="D275" i="7"/>
  <c r="F274" i="7"/>
  <c r="E274" i="7"/>
  <c r="D274" i="7"/>
  <c r="F273" i="7"/>
  <c r="E273" i="7"/>
  <c r="D273" i="7"/>
  <c r="F272" i="7"/>
  <c r="E272" i="7"/>
  <c r="D272" i="7"/>
  <c r="F271" i="7"/>
  <c r="E271" i="7"/>
  <c r="D271" i="7"/>
  <c r="F270" i="7"/>
  <c r="E270" i="7"/>
  <c r="D270" i="7"/>
  <c r="F269" i="7"/>
  <c r="E269" i="7"/>
  <c r="D269" i="7"/>
  <c r="F268" i="7"/>
  <c r="E268" i="7"/>
  <c r="D268" i="7"/>
  <c r="F267" i="7"/>
  <c r="E267" i="7"/>
  <c r="D267" i="7"/>
  <c r="F266" i="7"/>
  <c r="E266" i="7"/>
  <c r="D266" i="7"/>
  <c r="F265" i="7"/>
  <c r="E265" i="7"/>
  <c r="D265" i="7"/>
  <c r="F264" i="7"/>
  <c r="E264" i="7"/>
  <c r="D264" i="7"/>
  <c r="F263" i="7"/>
  <c r="E263" i="7"/>
  <c r="D263" i="7"/>
  <c r="F262" i="7"/>
  <c r="E262" i="7"/>
  <c r="D262" i="7"/>
  <c r="F261" i="7"/>
  <c r="E261" i="7"/>
  <c r="D261" i="7"/>
  <c r="F260" i="7"/>
  <c r="E260" i="7"/>
  <c r="D260" i="7"/>
  <c r="F259" i="7"/>
  <c r="E259" i="7"/>
  <c r="D259" i="7"/>
  <c r="F258" i="7"/>
  <c r="E258" i="7"/>
  <c r="D258" i="7"/>
  <c r="F257" i="7"/>
  <c r="E257" i="7"/>
  <c r="D257" i="7"/>
  <c r="F256" i="7"/>
  <c r="E256" i="7"/>
  <c r="D256" i="7"/>
  <c r="F255" i="7"/>
  <c r="E255" i="7"/>
  <c r="D255" i="7"/>
  <c r="F254" i="7"/>
  <c r="E254" i="7"/>
  <c r="D254" i="7"/>
  <c r="F253" i="7"/>
  <c r="E253" i="7"/>
  <c r="D253" i="7"/>
  <c r="F252" i="7"/>
  <c r="E252" i="7"/>
  <c r="D252" i="7"/>
  <c r="F251" i="7"/>
  <c r="E251" i="7"/>
  <c r="D251" i="7"/>
  <c r="F250" i="7"/>
  <c r="E250" i="7"/>
  <c r="D250" i="7"/>
  <c r="F249" i="7"/>
  <c r="E249" i="7"/>
  <c r="D249" i="7"/>
  <c r="F248" i="7"/>
  <c r="E248" i="7"/>
  <c r="D248" i="7"/>
  <c r="F247" i="7"/>
  <c r="E247" i="7"/>
  <c r="D247" i="7"/>
  <c r="F246" i="7"/>
  <c r="E246" i="7"/>
  <c r="D246" i="7"/>
  <c r="F245" i="7"/>
  <c r="E245" i="7"/>
  <c r="D245" i="7"/>
  <c r="F244" i="7"/>
  <c r="E244" i="7"/>
  <c r="D244" i="7"/>
  <c r="F243" i="7"/>
  <c r="E243" i="7"/>
  <c r="D243" i="7"/>
  <c r="F242" i="7"/>
  <c r="E242" i="7"/>
  <c r="D242" i="7"/>
  <c r="F241" i="7"/>
  <c r="E241" i="7"/>
  <c r="D241" i="7"/>
  <c r="F240" i="7"/>
  <c r="E240" i="7"/>
  <c r="D240" i="7"/>
  <c r="F239" i="7"/>
  <c r="E239" i="7"/>
  <c r="D239" i="7"/>
  <c r="F238" i="7"/>
  <c r="E238" i="7"/>
  <c r="D238" i="7"/>
  <c r="F237" i="7"/>
  <c r="E237" i="7"/>
  <c r="D237" i="7"/>
  <c r="F236" i="7"/>
  <c r="E236" i="7"/>
  <c r="D236" i="7"/>
  <c r="F235" i="7"/>
  <c r="E235" i="7"/>
  <c r="D235" i="7"/>
  <c r="F234" i="7"/>
  <c r="E234" i="7"/>
  <c r="D234" i="7"/>
  <c r="F233" i="7"/>
  <c r="E233" i="7"/>
  <c r="D233" i="7"/>
  <c r="F232" i="7"/>
  <c r="E232" i="7"/>
  <c r="D232" i="7"/>
  <c r="F231" i="7"/>
  <c r="E231" i="7"/>
  <c r="D231" i="7"/>
  <c r="F230" i="7"/>
  <c r="E230" i="7"/>
  <c r="D230" i="7"/>
  <c r="F229" i="7"/>
  <c r="E229" i="7"/>
  <c r="D229" i="7"/>
  <c r="F228" i="7"/>
  <c r="E228" i="7"/>
  <c r="D228" i="7"/>
  <c r="F227" i="7"/>
  <c r="E227" i="7"/>
  <c r="D227" i="7"/>
  <c r="F226" i="7"/>
  <c r="E226" i="7"/>
  <c r="D226" i="7"/>
  <c r="F225" i="7"/>
  <c r="E225" i="7"/>
  <c r="D225" i="7"/>
  <c r="F224" i="7"/>
  <c r="E224" i="7"/>
  <c r="D224" i="7"/>
  <c r="F223" i="7"/>
  <c r="E223" i="7"/>
  <c r="D223" i="7"/>
  <c r="F222" i="7"/>
  <c r="E222" i="7"/>
  <c r="D222" i="7"/>
  <c r="F221" i="7"/>
  <c r="E221" i="7"/>
  <c r="D221" i="7"/>
  <c r="F220" i="7"/>
  <c r="E220" i="7"/>
  <c r="D220" i="7"/>
  <c r="F219" i="7"/>
  <c r="E219" i="7"/>
  <c r="D219" i="7"/>
  <c r="F218" i="7"/>
  <c r="E218" i="7"/>
  <c r="D218" i="7"/>
  <c r="F217" i="7"/>
  <c r="E217" i="7"/>
  <c r="D217" i="7"/>
  <c r="F216" i="7"/>
  <c r="E216" i="7"/>
  <c r="D216" i="7"/>
  <c r="F215" i="7"/>
  <c r="E215" i="7"/>
  <c r="D215" i="7"/>
  <c r="F214" i="7"/>
  <c r="E214" i="7"/>
  <c r="D214" i="7"/>
  <c r="F213" i="7"/>
  <c r="E213" i="7"/>
  <c r="D213" i="7"/>
  <c r="F212" i="7"/>
  <c r="E212" i="7"/>
  <c r="D212" i="7"/>
  <c r="F211" i="7"/>
  <c r="E211" i="7"/>
  <c r="D211" i="7"/>
  <c r="F210" i="7"/>
  <c r="E210" i="7"/>
  <c r="D210" i="7"/>
  <c r="F209" i="7"/>
  <c r="E209" i="7"/>
  <c r="D209" i="7"/>
  <c r="F208" i="7"/>
  <c r="E208" i="7"/>
  <c r="D208" i="7"/>
  <c r="F207" i="7"/>
  <c r="E207" i="7"/>
  <c r="D207" i="7"/>
  <c r="F206" i="7"/>
  <c r="E206" i="7"/>
  <c r="D206" i="7"/>
  <c r="F205" i="7"/>
  <c r="E205" i="7"/>
  <c r="D205" i="7"/>
  <c r="F204" i="7"/>
  <c r="E204" i="7"/>
  <c r="D204" i="7"/>
  <c r="F203" i="7"/>
  <c r="E203" i="7"/>
  <c r="D203" i="7"/>
  <c r="F202" i="7"/>
  <c r="E202" i="7"/>
  <c r="D202" i="7"/>
  <c r="F201" i="7"/>
  <c r="E201" i="7"/>
  <c r="D201" i="7"/>
  <c r="F200" i="7"/>
  <c r="E200" i="7"/>
  <c r="D200" i="7"/>
  <c r="F199" i="7"/>
  <c r="E199" i="7"/>
  <c r="D199" i="7"/>
  <c r="F198" i="7"/>
  <c r="E198" i="7"/>
  <c r="D198" i="7"/>
  <c r="F197" i="7"/>
  <c r="E197" i="7"/>
  <c r="D197" i="7"/>
  <c r="F196" i="7"/>
  <c r="E196" i="7"/>
  <c r="D196" i="7"/>
  <c r="F195" i="7"/>
  <c r="E195" i="7"/>
  <c r="D195" i="7"/>
  <c r="F194" i="7"/>
  <c r="E194" i="7"/>
  <c r="D194" i="7"/>
  <c r="F193" i="7"/>
  <c r="E193" i="7"/>
  <c r="D193" i="7"/>
  <c r="F192" i="7"/>
  <c r="E192" i="7"/>
  <c r="D192" i="7"/>
  <c r="F191" i="7"/>
  <c r="E191" i="7"/>
  <c r="D191" i="7"/>
  <c r="F190" i="7"/>
  <c r="E190" i="7"/>
  <c r="D190" i="7"/>
  <c r="F189" i="7"/>
  <c r="E189" i="7"/>
  <c r="D189" i="7"/>
  <c r="F188" i="7"/>
  <c r="E188" i="7"/>
  <c r="D188" i="7"/>
  <c r="F187" i="7"/>
  <c r="E187" i="7"/>
  <c r="D187" i="7"/>
  <c r="F186" i="7"/>
  <c r="E186" i="7"/>
  <c r="D186" i="7"/>
  <c r="F185" i="7"/>
  <c r="E185" i="7"/>
  <c r="D185" i="7"/>
  <c r="F184" i="7"/>
  <c r="E184" i="7"/>
  <c r="D184" i="7"/>
  <c r="F183" i="7"/>
  <c r="E183" i="7"/>
  <c r="D183" i="7"/>
  <c r="F182" i="7"/>
  <c r="E182" i="7"/>
  <c r="D182" i="7"/>
  <c r="F181" i="7"/>
  <c r="E181" i="7"/>
  <c r="D181" i="7"/>
  <c r="F180" i="7"/>
  <c r="E180" i="7"/>
  <c r="D180" i="7"/>
  <c r="F179" i="7"/>
  <c r="E179" i="7"/>
  <c r="D179" i="7"/>
  <c r="F178" i="7"/>
  <c r="E178" i="7"/>
  <c r="D178" i="7"/>
  <c r="F177" i="7"/>
  <c r="E177" i="7"/>
  <c r="D177" i="7"/>
  <c r="F176" i="7"/>
  <c r="E176" i="7"/>
  <c r="D176" i="7"/>
  <c r="F175" i="7"/>
  <c r="E175" i="7"/>
  <c r="D175" i="7"/>
  <c r="F174" i="7"/>
  <c r="E174" i="7"/>
  <c r="D174" i="7"/>
  <c r="F173" i="7"/>
  <c r="E173" i="7"/>
  <c r="D173" i="7"/>
  <c r="F172" i="7"/>
  <c r="E172" i="7"/>
  <c r="D172" i="7"/>
  <c r="F171" i="7"/>
  <c r="E171" i="7"/>
  <c r="D171" i="7"/>
  <c r="F170" i="7"/>
  <c r="E170" i="7"/>
  <c r="D170" i="7"/>
  <c r="F169" i="7"/>
  <c r="E169" i="7"/>
  <c r="D169" i="7"/>
  <c r="F168" i="7"/>
  <c r="E168" i="7"/>
  <c r="D168" i="7"/>
  <c r="F167" i="7"/>
  <c r="E167" i="7"/>
  <c r="D167" i="7"/>
  <c r="F166" i="7"/>
  <c r="E166" i="7"/>
  <c r="D166" i="7"/>
  <c r="F165" i="7"/>
  <c r="E165" i="7"/>
  <c r="D165" i="7"/>
  <c r="F164" i="7"/>
  <c r="E164" i="7"/>
  <c r="D164" i="7"/>
  <c r="F163" i="7"/>
  <c r="E163" i="7"/>
  <c r="D163" i="7"/>
  <c r="F162" i="7"/>
  <c r="E162" i="7"/>
  <c r="D162" i="7"/>
  <c r="F161" i="7"/>
  <c r="E161" i="7"/>
  <c r="D161" i="7"/>
  <c r="F160" i="7"/>
  <c r="E160" i="7"/>
  <c r="D160" i="7"/>
  <c r="F159" i="7"/>
  <c r="E159" i="7"/>
  <c r="D159" i="7"/>
  <c r="F158" i="7"/>
  <c r="E158" i="7"/>
  <c r="D158" i="7"/>
  <c r="F157" i="7"/>
  <c r="E157" i="7"/>
  <c r="D157" i="7"/>
  <c r="F156" i="7"/>
  <c r="E156" i="7"/>
  <c r="D156" i="7"/>
  <c r="F155" i="7"/>
  <c r="E155" i="7"/>
  <c r="D155" i="7"/>
  <c r="F154" i="7"/>
  <c r="E154" i="7"/>
  <c r="D154" i="7"/>
  <c r="F153" i="7"/>
  <c r="E153" i="7"/>
  <c r="D153" i="7"/>
  <c r="F152" i="7"/>
  <c r="E152" i="7"/>
  <c r="D152" i="7"/>
  <c r="F151" i="7"/>
  <c r="E151" i="7"/>
  <c r="D151" i="7"/>
  <c r="F150" i="7"/>
  <c r="E150" i="7"/>
  <c r="D150" i="7"/>
  <c r="F149" i="7"/>
  <c r="E149" i="7"/>
  <c r="D149" i="7"/>
  <c r="F148" i="7"/>
  <c r="E148" i="7"/>
  <c r="D148" i="7"/>
  <c r="F147" i="7"/>
  <c r="E147" i="7"/>
  <c r="D147" i="7"/>
  <c r="F146" i="7"/>
  <c r="E146" i="7"/>
  <c r="D146" i="7"/>
  <c r="F145" i="7"/>
  <c r="E145" i="7"/>
  <c r="D145" i="7"/>
  <c r="F144" i="7"/>
  <c r="E144" i="7"/>
  <c r="D144" i="7"/>
  <c r="F143" i="7"/>
  <c r="E143" i="7"/>
  <c r="D143" i="7"/>
  <c r="F142" i="7"/>
  <c r="E142" i="7"/>
  <c r="D142" i="7"/>
  <c r="F141" i="7"/>
  <c r="E141" i="7"/>
  <c r="D141" i="7"/>
  <c r="F140" i="7"/>
  <c r="E140" i="7"/>
  <c r="D140" i="7"/>
  <c r="F139" i="7"/>
  <c r="E139" i="7"/>
  <c r="D139" i="7"/>
  <c r="F138" i="7"/>
  <c r="E138" i="7"/>
  <c r="D138" i="7"/>
  <c r="F137" i="7"/>
  <c r="E137" i="7"/>
  <c r="D137" i="7"/>
  <c r="F136" i="7"/>
  <c r="E136" i="7"/>
  <c r="D136" i="7"/>
  <c r="F135" i="7"/>
  <c r="E135" i="7"/>
  <c r="D135" i="7"/>
  <c r="F134" i="7"/>
  <c r="E134" i="7"/>
  <c r="D134" i="7"/>
  <c r="F133" i="7"/>
  <c r="E133" i="7"/>
  <c r="D133" i="7"/>
  <c r="F132" i="7"/>
  <c r="E132" i="7"/>
  <c r="D132" i="7"/>
  <c r="F131" i="7"/>
  <c r="E131" i="7"/>
  <c r="D131" i="7"/>
  <c r="F130" i="7"/>
  <c r="E130" i="7"/>
  <c r="D130" i="7"/>
  <c r="F129" i="7"/>
  <c r="E129" i="7"/>
  <c r="D129" i="7"/>
  <c r="F128" i="7"/>
  <c r="E128" i="7"/>
  <c r="D128" i="7"/>
  <c r="F127" i="7"/>
  <c r="E127" i="7"/>
  <c r="D127" i="7"/>
  <c r="F126" i="7"/>
  <c r="E126" i="7"/>
  <c r="D126" i="7"/>
  <c r="F125" i="7"/>
  <c r="E125" i="7"/>
  <c r="D125" i="7"/>
  <c r="F124" i="7"/>
  <c r="E124" i="7"/>
  <c r="D124" i="7"/>
  <c r="F123" i="7"/>
  <c r="E123" i="7"/>
  <c r="D123" i="7"/>
  <c r="F122" i="7"/>
  <c r="E122" i="7"/>
  <c r="D122" i="7"/>
  <c r="F121" i="7"/>
  <c r="E121" i="7"/>
  <c r="D121" i="7"/>
  <c r="F120" i="7"/>
  <c r="E120" i="7"/>
  <c r="D120" i="7"/>
  <c r="F119" i="7"/>
  <c r="E119" i="7"/>
  <c r="D119" i="7"/>
  <c r="F118" i="7"/>
  <c r="E118" i="7"/>
  <c r="D118" i="7"/>
  <c r="F117" i="7"/>
  <c r="E117" i="7"/>
  <c r="D117" i="7"/>
  <c r="F116" i="7"/>
  <c r="E116" i="7"/>
  <c r="D116" i="7"/>
  <c r="F115" i="7"/>
  <c r="E115" i="7"/>
  <c r="D115" i="7"/>
  <c r="F114" i="7"/>
  <c r="E114" i="7"/>
  <c r="D114" i="7"/>
  <c r="F113" i="7"/>
  <c r="E113" i="7"/>
  <c r="D113" i="7"/>
  <c r="F112" i="7"/>
  <c r="E112" i="7"/>
  <c r="D112" i="7"/>
  <c r="F111" i="7"/>
  <c r="E111" i="7"/>
  <c r="D111" i="7"/>
  <c r="F110" i="7"/>
  <c r="E110" i="7"/>
  <c r="D110" i="7"/>
  <c r="F109" i="7"/>
  <c r="E109" i="7"/>
  <c r="D109" i="7"/>
  <c r="F108" i="7"/>
  <c r="E108" i="7"/>
  <c r="D108" i="7"/>
  <c r="F107" i="7"/>
  <c r="E107" i="7"/>
  <c r="D107" i="7"/>
  <c r="F106" i="7"/>
  <c r="E106" i="7"/>
  <c r="D106" i="7"/>
  <c r="F105" i="7"/>
  <c r="E105" i="7"/>
  <c r="D105" i="7"/>
  <c r="F104" i="7"/>
  <c r="E104" i="7"/>
  <c r="D104" i="7"/>
  <c r="F103" i="7"/>
  <c r="E103" i="7"/>
  <c r="D103" i="7"/>
  <c r="F102" i="7"/>
  <c r="E102" i="7"/>
  <c r="D102" i="7"/>
  <c r="F101" i="7"/>
  <c r="E101" i="7"/>
  <c r="D101" i="7"/>
  <c r="F100" i="7"/>
  <c r="E100" i="7"/>
  <c r="D100" i="7"/>
  <c r="F99" i="7"/>
  <c r="E99" i="7"/>
  <c r="D99" i="7"/>
  <c r="F98" i="7"/>
  <c r="E98" i="7"/>
  <c r="D98" i="7"/>
  <c r="F97" i="7"/>
  <c r="E97" i="7"/>
  <c r="D97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7" i="7"/>
  <c r="E87" i="7"/>
  <c r="D87" i="7"/>
  <c r="F86" i="7"/>
  <c r="E86" i="7"/>
  <c r="D86" i="7"/>
  <c r="F85" i="7"/>
  <c r="E85" i="7"/>
  <c r="D85" i="7"/>
  <c r="F84" i="7"/>
  <c r="E84" i="7"/>
  <c r="D84" i="7"/>
  <c r="F83" i="7"/>
  <c r="E83" i="7"/>
  <c r="D83" i="7"/>
  <c r="F82" i="7"/>
  <c r="E82" i="7"/>
  <c r="D82" i="7"/>
  <c r="F81" i="7"/>
  <c r="E81" i="7"/>
  <c r="D81" i="7"/>
  <c r="F80" i="7"/>
  <c r="E80" i="7"/>
  <c r="D80" i="7"/>
  <c r="F79" i="7"/>
  <c r="E79" i="7"/>
  <c r="D79" i="7"/>
  <c r="F78" i="7"/>
  <c r="E78" i="7"/>
  <c r="D78" i="7"/>
  <c r="F77" i="7"/>
  <c r="E77" i="7"/>
  <c r="D77" i="7"/>
  <c r="F76" i="7"/>
  <c r="E76" i="7"/>
  <c r="D76" i="7"/>
  <c r="F75" i="7"/>
  <c r="E75" i="7"/>
  <c r="D75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F69" i="7"/>
  <c r="E69" i="7"/>
  <c r="D69" i="7"/>
  <c r="F68" i="7"/>
  <c r="E68" i="7"/>
  <c r="D68" i="7"/>
  <c r="F67" i="7"/>
  <c r="E67" i="7"/>
  <c r="D67" i="7"/>
  <c r="F66" i="7"/>
  <c r="E66" i="7"/>
  <c r="D66" i="7"/>
  <c r="F65" i="7"/>
  <c r="E65" i="7"/>
  <c r="D65" i="7"/>
  <c r="F64" i="7"/>
  <c r="E64" i="7"/>
  <c r="D64" i="7"/>
  <c r="F63" i="7"/>
  <c r="E63" i="7"/>
  <c r="D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F56" i="7"/>
  <c r="E56" i="7"/>
  <c r="D56" i="7"/>
  <c r="F55" i="7"/>
  <c r="E55" i="7"/>
  <c r="D55" i="7"/>
  <c r="F54" i="7"/>
  <c r="E54" i="7"/>
  <c r="D54" i="7"/>
  <c r="F53" i="7"/>
  <c r="E53" i="7"/>
  <c r="D53" i="7"/>
  <c r="F52" i="7"/>
  <c r="E52" i="7"/>
  <c r="D52" i="7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F46" i="7"/>
  <c r="E46" i="7"/>
  <c r="D46" i="7"/>
  <c r="F45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F35" i="7"/>
  <c r="E35" i="7"/>
  <c r="D35" i="7"/>
  <c r="F34" i="7"/>
  <c r="E34" i="7"/>
  <c r="D34" i="7"/>
  <c r="F33" i="7"/>
  <c r="E33" i="7"/>
  <c r="D33" i="7"/>
  <c r="F32" i="7"/>
  <c r="E32" i="7"/>
  <c r="D32" i="7"/>
  <c r="F31" i="7"/>
  <c r="E31" i="7"/>
  <c r="D31" i="7"/>
  <c r="F30" i="7"/>
  <c r="E30" i="7"/>
  <c r="D30" i="7"/>
  <c r="F29" i="7"/>
  <c r="E29" i="7"/>
  <c r="D29" i="7"/>
  <c r="F28" i="7"/>
  <c r="E28" i="7"/>
  <c r="D28" i="7"/>
  <c r="F27" i="7"/>
  <c r="E27" i="7"/>
  <c r="D27" i="7"/>
  <c r="F26" i="7"/>
  <c r="E26" i="7"/>
  <c r="D26" i="7"/>
  <c r="F25" i="7"/>
  <c r="E25" i="7"/>
  <c r="D25" i="7"/>
  <c r="F24" i="7"/>
  <c r="E24" i="7"/>
  <c r="D24" i="7"/>
  <c r="F23" i="7"/>
  <c r="E23" i="7"/>
  <c r="D23" i="7"/>
  <c r="F22" i="7"/>
  <c r="E22" i="7"/>
  <c r="D22" i="7"/>
  <c r="F21" i="7"/>
  <c r="E21" i="7"/>
  <c r="D21" i="7"/>
  <c r="F20" i="7"/>
  <c r="E20" i="7"/>
  <c r="D20" i="7"/>
  <c r="F19" i="7"/>
  <c r="E19" i="7"/>
  <c r="D19" i="7"/>
  <c r="F18" i="7"/>
  <c r="E18" i="7"/>
  <c r="D18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6" i="7"/>
  <c r="E6" i="7"/>
  <c r="D6" i="7"/>
  <c r="F5" i="7"/>
  <c r="E5" i="7"/>
  <c r="D5" i="7"/>
  <c r="F4" i="7"/>
  <c r="E4" i="7"/>
  <c r="D4" i="7"/>
  <c r="F3" i="7"/>
  <c r="E3" i="7"/>
  <c r="D3" i="7"/>
  <c r="C2" i="7"/>
  <c r="F280" i="6"/>
  <c r="E280" i="6"/>
  <c r="D280" i="6"/>
  <c r="F279" i="6"/>
  <c r="E279" i="6"/>
  <c r="D279" i="6"/>
  <c r="F278" i="6"/>
  <c r="E278" i="6"/>
  <c r="D278" i="6"/>
  <c r="F277" i="6"/>
  <c r="E277" i="6"/>
  <c r="D277" i="6"/>
  <c r="F276" i="6"/>
  <c r="E276" i="6"/>
  <c r="D276" i="6"/>
  <c r="F275" i="6"/>
  <c r="E275" i="6"/>
  <c r="D275" i="6"/>
  <c r="F274" i="6"/>
  <c r="E274" i="6"/>
  <c r="D274" i="6"/>
  <c r="F273" i="6"/>
  <c r="E273" i="6"/>
  <c r="D273" i="6"/>
  <c r="F272" i="6"/>
  <c r="E272" i="6"/>
  <c r="D272" i="6"/>
  <c r="F271" i="6"/>
  <c r="E271" i="6"/>
  <c r="D271" i="6"/>
  <c r="F270" i="6"/>
  <c r="E270" i="6"/>
  <c r="D270" i="6"/>
  <c r="F269" i="6"/>
  <c r="E269" i="6"/>
  <c r="D269" i="6"/>
  <c r="F268" i="6"/>
  <c r="E268" i="6"/>
  <c r="D268" i="6"/>
  <c r="F267" i="6"/>
  <c r="E267" i="6"/>
  <c r="D267" i="6"/>
  <c r="F266" i="6"/>
  <c r="E266" i="6"/>
  <c r="D266" i="6"/>
  <c r="F265" i="6"/>
  <c r="E265" i="6"/>
  <c r="D265" i="6"/>
  <c r="F264" i="6"/>
  <c r="E264" i="6"/>
  <c r="D264" i="6"/>
  <c r="F263" i="6"/>
  <c r="E263" i="6"/>
  <c r="D263" i="6"/>
  <c r="F262" i="6"/>
  <c r="E262" i="6"/>
  <c r="D262" i="6"/>
  <c r="F261" i="6"/>
  <c r="E261" i="6"/>
  <c r="D261" i="6"/>
  <c r="F260" i="6"/>
  <c r="E260" i="6"/>
  <c r="D260" i="6"/>
  <c r="F259" i="6"/>
  <c r="E259" i="6"/>
  <c r="D259" i="6"/>
  <c r="F258" i="6"/>
  <c r="E258" i="6"/>
  <c r="D258" i="6"/>
  <c r="F257" i="6"/>
  <c r="E257" i="6"/>
  <c r="D257" i="6"/>
  <c r="F256" i="6"/>
  <c r="E256" i="6"/>
  <c r="D256" i="6"/>
  <c r="F255" i="6"/>
  <c r="E255" i="6"/>
  <c r="D255" i="6"/>
  <c r="F254" i="6"/>
  <c r="E254" i="6"/>
  <c r="D254" i="6"/>
  <c r="F253" i="6"/>
  <c r="E253" i="6"/>
  <c r="D253" i="6"/>
  <c r="F252" i="6"/>
  <c r="E252" i="6"/>
  <c r="D252" i="6"/>
  <c r="F251" i="6"/>
  <c r="E251" i="6"/>
  <c r="D251" i="6"/>
  <c r="F250" i="6"/>
  <c r="E250" i="6"/>
  <c r="D250" i="6"/>
  <c r="F249" i="6"/>
  <c r="E249" i="6"/>
  <c r="D249" i="6"/>
  <c r="F248" i="6"/>
  <c r="E248" i="6"/>
  <c r="D248" i="6"/>
  <c r="F247" i="6"/>
  <c r="E247" i="6"/>
  <c r="D247" i="6"/>
  <c r="F246" i="6"/>
  <c r="E246" i="6"/>
  <c r="D246" i="6"/>
  <c r="F245" i="6"/>
  <c r="E245" i="6"/>
  <c r="D245" i="6"/>
  <c r="F244" i="6"/>
  <c r="E244" i="6"/>
  <c r="D244" i="6"/>
  <c r="F243" i="6"/>
  <c r="E243" i="6"/>
  <c r="D243" i="6"/>
  <c r="F242" i="6"/>
  <c r="E242" i="6"/>
  <c r="D242" i="6"/>
  <c r="F241" i="6"/>
  <c r="E241" i="6"/>
  <c r="D241" i="6"/>
  <c r="F240" i="6"/>
  <c r="E240" i="6"/>
  <c r="D240" i="6"/>
  <c r="F239" i="6"/>
  <c r="E239" i="6"/>
  <c r="D239" i="6"/>
  <c r="F238" i="6"/>
  <c r="E238" i="6"/>
  <c r="D238" i="6"/>
  <c r="F237" i="6"/>
  <c r="E237" i="6"/>
  <c r="D237" i="6"/>
  <c r="F236" i="6"/>
  <c r="E236" i="6"/>
  <c r="D236" i="6"/>
  <c r="F235" i="6"/>
  <c r="E235" i="6"/>
  <c r="D235" i="6"/>
  <c r="F234" i="6"/>
  <c r="E234" i="6"/>
  <c r="D234" i="6"/>
  <c r="F233" i="6"/>
  <c r="E233" i="6"/>
  <c r="D233" i="6"/>
  <c r="F232" i="6"/>
  <c r="E232" i="6"/>
  <c r="D232" i="6"/>
  <c r="F231" i="6"/>
  <c r="E231" i="6"/>
  <c r="D231" i="6"/>
  <c r="F230" i="6"/>
  <c r="E230" i="6"/>
  <c r="D230" i="6"/>
  <c r="F229" i="6"/>
  <c r="E229" i="6"/>
  <c r="D229" i="6"/>
  <c r="F228" i="6"/>
  <c r="E228" i="6"/>
  <c r="D228" i="6"/>
  <c r="F227" i="6"/>
  <c r="E227" i="6"/>
  <c r="D227" i="6"/>
  <c r="F226" i="6"/>
  <c r="E226" i="6"/>
  <c r="D226" i="6"/>
  <c r="F225" i="6"/>
  <c r="E225" i="6"/>
  <c r="D225" i="6"/>
  <c r="F224" i="6"/>
  <c r="E224" i="6"/>
  <c r="D224" i="6"/>
  <c r="F223" i="6"/>
  <c r="E223" i="6"/>
  <c r="D223" i="6"/>
  <c r="F222" i="6"/>
  <c r="E222" i="6"/>
  <c r="D222" i="6"/>
  <c r="F221" i="6"/>
  <c r="E221" i="6"/>
  <c r="D221" i="6"/>
  <c r="F220" i="6"/>
  <c r="E220" i="6"/>
  <c r="D220" i="6"/>
  <c r="F219" i="6"/>
  <c r="E219" i="6"/>
  <c r="D219" i="6"/>
  <c r="F218" i="6"/>
  <c r="E218" i="6"/>
  <c r="D218" i="6"/>
  <c r="F217" i="6"/>
  <c r="E217" i="6"/>
  <c r="D217" i="6"/>
  <c r="F216" i="6"/>
  <c r="E216" i="6"/>
  <c r="D216" i="6"/>
  <c r="F215" i="6"/>
  <c r="E215" i="6"/>
  <c r="D215" i="6"/>
  <c r="F214" i="6"/>
  <c r="E214" i="6"/>
  <c r="D214" i="6"/>
  <c r="F213" i="6"/>
  <c r="E213" i="6"/>
  <c r="D213" i="6"/>
  <c r="F212" i="6"/>
  <c r="E212" i="6"/>
  <c r="D212" i="6"/>
  <c r="F211" i="6"/>
  <c r="E211" i="6"/>
  <c r="D211" i="6"/>
  <c r="F210" i="6"/>
  <c r="E210" i="6"/>
  <c r="D210" i="6"/>
  <c r="F209" i="6"/>
  <c r="E209" i="6"/>
  <c r="D209" i="6"/>
  <c r="F208" i="6"/>
  <c r="E208" i="6"/>
  <c r="D208" i="6"/>
  <c r="F207" i="6"/>
  <c r="E207" i="6"/>
  <c r="D207" i="6"/>
  <c r="F206" i="6"/>
  <c r="E206" i="6"/>
  <c r="D206" i="6"/>
  <c r="F205" i="6"/>
  <c r="E205" i="6"/>
  <c r="D205" i="6"/>
  <c r="F204" i="6"/>
  <c r="E204" i="6"/>
  <c r="D204" i="6"/>
  <c r="F203" i="6"/>
  <c r="E203" i="6"/>
  <c r="D203" i="6"/>
  <c r="F202" i="6"/>
  <c r="E202" i="6"/>
  <c r="D202" i="6"/>
  <c r="F201" i="6"/>
  <c r="E201" i="6"/>
  <c r="D201" i="6"/>
  <c r="F200" i="6"/>
  <c r="E200" i="6"/>
  <c r="D200" i="6"/>
  <c r="F199" i="6"/>
  <c r="E199" i="6"/>
  <c r="D199" i="6"/>
  <c r="F198" i="6"/>
  <c r="E198" i="6"/>
  <c r="D198" i="6"/>
  <c r="F197" i="6"/>
  <c r="E197" i="6"/>
  <c r="D197" i="6"/>
  <c r="F196" i="6"/>
  <c r="E196" i="6"/>
  <c r="D196" i="6"/>
  <c r="F195" i="6"/>
  <c r="E195" i="6"/>
  <c r="D195" i="6"/>
  <c r="F194" i="6"/>
  <c r="E194" i="6"/>
  <c r="D194" i="6"/>
  <c r="F193" i="6"/>
  <c r="E193" i="6"/>
  <c r="D193" i="6"/>
  <c r="F192" i="6"/>
  <c r="E192" i="6"/>
  <c r="D192" i="6"/>
  <c r="F191" i="6"/>
  <c r="E191" i="6"/>
  <c r="D191" i="6"/>
  <c r="F190" i="6"/>
  <c r="E190" i="6"/>
  <c r="D190" i="6"/>
  <c r="F189" i="6"/>
  <c r="E189" i="6"/>
  <c r="D189" i="6"/>
  <c r="F188" i="6"/>
  <c r="E188" i="6"/>
  <c r="D188" i="6"/>
  <c r="F187" i="6"/>
  <c r="E187" i="6"/>
  <c r="D187" i="6"/>
  <c r="F186" i="6"/>
  <c r="E186" i="6"/>
  <c r="D186" i="6"/>
  <c r="F185" i="6"/>
  <c r="E185" i="6"/>
  <c r="D185" i="6"/>
  <c r="F184" i="6"/>
  <c r="E184" i="6"/>
  <c r="D184" i="6"/>
  <c r="F183" i="6"/>
  <c r="E183" i="6"/>
  <c r="D183" i="6"/>
  <c r="F182" i="6"/>
  <c r="E182" i="6"/>
  <c r="D182" i="6"/>
  <c r="F181" i="6"/>
  <c r="E181" i="6"/>
  <c r="D181" i="6"/>
  <c r="F180" i="6"/>
  <c r="E180" i="6"/>
  <c r="D180" i="6"/>
  <c r="F179" i="6"/>
  <c r="E179" i="6"/>
  <c r="D179" i="6"/>
  <c r="F178" i="6"/>
  <c r="E178" i="6"/>
  <c r="D178" i="6"/>
  <c r="F177" i="6"/>
  <c r="E177" i="6"/>
  <c r="D177" i="6"/>
  <c r="F176" i="6"/>
  <c r="E176" i="6"/>
  <c r="D176" i="6"/>
  <c r="F175" i="6"/>
  <c r="E175" i="6"/>
  <c r="D175" i="6"/>
  <c r="F174" i="6"/>
  <c r="E174" i="6"/>
  <c r="D174" i="6"/>
  <c r="F173" i="6"/>
  <c r="E173" i="6"/>
  <c r="D173" i="6"/>
  <c r="F172" i="6"/>
  <c r="E172" i="6"/>
  <c r="D172" i="6"/>
  <c r="F171" i="6"/>
  <c r="E171" i="6"/>
  <c r="D171" i="6"/>
  <c r="F170" i="6"/>
  <c r="E170" i="6"/>
  <c r="D170" i="6"/>
  <c r="F169" i="6"/>
  <c r="E169" i="6"/>
  <c r="D169" i="6"/>
  <c r="F168" i="6"/>
  <c r="E168" i="6"/>
  <c r="D168" i="6"/>
  <c r="F167" i="6"/>
  <c r="E167" i="6"/>
  <c r="D167" i="6"/>
  <c r="F166" i="6"/>
  <c r="E166" i="6"/>
  <c r="D166" i="6"/>
  <c r="F165" i="6"/>
  <c r="E165" i="6"/>
  <c r="D165" i="6"/>
  <c r="F164" i="6"/>
  <c r="E164" i="6"/>
  <c r="D164" i="6"/>
  <c r="F163" i="6"/>
  <c r="E163" i="6"/>
  <c r="D163" i="6"/>
  <c r="F162" i="6"/>
  <c r="E162" i="6"/>
  <c r="D162" i="6"/>
  <c r="F161" i="6"/>
  <c r="E161" i="6"/>
  <c r="D161" i="6"/>
  <c r="F160" i="6"/>
  <c r="E160" i="6"/>
  <c r="D160" i="6"/>
  <c r="F159" i="6"/>
  <c r="E159" i="6"/>
  <c r="D159" i="6"/>
  <c r="F158" i="6"/>
  <c r="E158" i="6"/>
  <c r="D158" i="6"/>
  <c r="F157" i="6"/>
  <c r="E157" i="6"/>
  <c r="D157" i="6"/>
  <c r="F156" i="6"/>
  <c r="E156" i="6"/>
  <c r="D156" i="6"/>
  <c r="F155" i="6"/>
  <c r="E155" i="6"/>
  <c r="D155" i="6"/>
  <c r="F154" i="6"/>
  <c r="E154" i="6"/>
  <c r="D154" i="6"/>
  <c r="F153" i="6"/>
  <c r="E153" i="6"/>
  <c r="D153" i="6"/>
  <c r="F152" i="6"/>
  <c r="E152" i="6"/>
  <c r="D152" i="6"/>
  <c r="F151" i="6"/>
  <c r="E151" i="6"/>
  <c r="D151" i="6"/>
  <c r="F150" i="6"/>
  <c r="E150" i="6"/>
  <c r="D150" i="6"/>
  <c r="F149" i="6"/>
  <c r="E149" i="6"/>
  <c r="D149" i="6"/>
  <c r="F148" i="6"/>
  <c r="E148" i="6"/>
  <c r="D148" i="6"/>
  <c r="F147" i="6"/>
  <c r="E147" i="6"/>
  <c r="D147" i="6"/>
  <c r="F146" i="6"/>
  <c r="E146" i="6"/>
  <c r="D146" i="6"/>
  <c r="F145" i="6"/>
  <c r="E145" i="6"/>
  <c r="D145" i="6"/>
  <c r="F144" i="6"/>
  <c r="E144" i="6"/>
  <c r="D144" i="6"/>
  <c r="F143" i="6"/>
  <c r="E143" i="6"/>
  <c r="D143" i="6"/>
  <c r="F142" i="6"/>
  <c r="E142" i="6"/>
  <c r="D142" i="6"/>
  <c r="F141" i="6"/>
  <c r="E141" i="6"/>
  <c r="D141" i="6"/>
  <c r="F140" i="6"/>
  <c r="E140" i="6"/>
  <c r="D140" i="6"/>
  <c r="F139" i="6"/>
  <c r="E139" i="6"/>
  <c r="D139" i="6"/>
  <c r="F138" i="6"/>
  <c r="E138" i="6"/>
  <c r="D138" i="6"/>
  <c r="F137" i="6"/>
  <c r="E137" i="6"/>
  <c r="D137" i="6"/>
  <c r="F136" i="6"/>
  <c r="E136" i="6"/>
  <c r="D136" i="6"/>
  <c r="F135" i="6"/>
  <c r="E135" i="6"/>
  <c r="D135" i="6"/>
  <c r="F134" i="6"/>
  <c r="E134" i="6"/>
  <c r="D134" i="6"/>
  <c r="F133" i="6"/>
  <c r="E133" i="6"/>
  <c r="D133" i="6"/>
  <c r="F132" i="6"/>
  <c r="E132" i="6"/>
  <c r="D132" i="6"/>
  <c r="F131" i="6"/>
  <c r="E131" i="6"/>
  <c r="D131" i="6"/>
  <c r="F130" i="6"/>
  <c r="E130" i="6"/>
  <c r="D130" i="6"/>
  <c r="F129" i="6"/>
  <c r="E129" i="6"/>
  <c r="D129" i="6"/>
  <c r="F128" i="6"/>
  <c r="E128" i="6"/>
  <c r="D128" i="6"/>
  <c r="F127" i="6"/>
  <c r="E127" i="6"/>
  <c r="D127" i="6"/>
  <c r="F126" i="6"/>
  <c r="E126" i="6"/>
  <c r="D126" i="6"/>
  <c r="F125" i="6"/>
  <c r="E125" i="6"/>
  <c r="D125" i="6"/>
  <c r="F124" i="6"/>
  <c r="E124" i="6"/>
  <c r="D124" i="6"/>
  <c r="F123" i="6"/>
  <c r="E123" i="6"/>
  <c r="D123" i="6"/>
  <c r="F122" i="6"/>
  <c r="E122" i="6"/>
  <c r="D122" i="6"/>
  <c r="F121" i="6"/>
  <c r="E121" i="6"/>
  <c r="D121" i="6"/>
  <c r="F120" i="6"/>
  <c r="E120" i="6"/>
  <c r="D120" i="6"/>
  <c r="F119" i="6"/>
  <c r="E119" i="6"/>
  <c r="D119" i="6"/>
  <c r="F118" i="6"/>
  <c r="E118" i="6"/>
  <c r="D118" i="6"/>
  <c r="F117" i="6"/>
  <c r="E117" i="6"/>
  <c r="D117" i="6"/>
  <c r="F116" i="6"/>
  <c r="E116" i="6"/>
  <c r="D116" i="6"/>
  <c r="F115" i="6"/>
  <c r="E115" i="6"/>
  <c r="D115" i="6"/>
  <c r="F114" i="6"/>
  <c r="E114" i="6"/>
  <c r="D114" i="6"/>
  <c r="F113" i="6"/>
  <c r="E113" i="6"/>
  <c r="D113" i="6"/>
  <c r="F112" i="6"/>
  <c r="E112" i="6"/>
  <c r="D112" i="6"/>
  <c r="F111" i="6"/>
  <c r="E111" i="6"/>
  <c r="D111" i="6"/>
  <c r="F110" i="6"/>
  <c r="E110" i="6"/>
  <c r="D110" i="6"/>
  <c r="F109" i="6"/>
  <c r="E109" i="6"/>
  <c r="D109" i="6"/>
  <c r="F108" i="6"/>
  <c r="E108" i="6"/>
  <c r="D108" i="6"/>
  <c r="F107" i="6"/>
  <c r="E107" i="6"/>
  <c r="D107" i="6"/>
  <c r="F106" i="6"/>
  <c r="E106" i="6"/>
  <c r="D106" i="6"/>
  <c r="F105" i="6"/>
  <c r="E105" i="6"/>
  <c r="D105" i="6"/>
  <c r="F104" i="6"/>
  <c r="E104" i="6"/>
  <c r="D104" i="6"/>
  <c r="F103" i="6"/>
  <c r="E103" i="6"/>
  <c r="D103" i="6"/>
  <c r="F102" i="6"/>
  <c r="E102" i="6"/>
  <c r="D102" i="6"/>
  <c r="F101" i="6"/>
  <c r="E101" i="6"/>
  <c r="D101" i="6"/>
  <c r="F100" i="6"/>
  <c r="E100" i="6"/>
  <c r="D100" i="6"/>
  <c r="F99" i="6"/>
  <c r="E99" i="6"/>
  <c r="D99" i="6"/>
  <c r="F98" i="6"/>
  <c r="E98" i="6"/>
  <c r="D98" i="6"/>
  <c r="F97" i="6"/>
  <c r="E97" i="6"/>
  <c r="D97" i="6"/>
  <c r="F96" i="6"/>
  <c r="E96" i="6"/>
  <c r="D96" i="6"/>
  <c r="F95" i="6"/>
  <c r="E95" i="6"/>
  <c r="D95" i="6"/>
  <c r="F94" i="6"/>
  <c r="E94" i="6"/>
  <c r="D94" i="6"/>
  <c r="F93" i="6"/>
  <c r="E93" i="6"/>
  <c r="D93" i="6"/>
  <c r="F92" i="6"/>
  <c r="E92" i="6"/>
  <c r="D92" i="6"/>
  <c r="F91" i="6"/>
  <c r="E91" i="6"/>
  <c r="D91" i="6"/>
  <c r="F90" i="6"/>
  <c r="E90" i="6"/>
  <c r="D90" i="6"/>
  <c r="F89" i="6"/>
  <c r="E89" i="6"/>
  <c r="D89" i="6"/>
  <c r="F88" i="6"/>
  <c r="E88" i="6"/>
  <c r="D88" i="6"/>
  <c r="F87" i="6"/>
  <c r="E87" i="6"/>
  <c r="D87" i="6"/>
  <c r="F86" i="6"/>
  <c r="E86" i="6"/>
  <c r="D86" i="6"/>
  <c r="F85" i="6"/>
  <c r="E85" i="6"/>
  <c r="D85" i="6"/>
  <c r="F84" i="6"/>
  <c r="E84" i="6"/>
  <c r="D84" i="6"/>
  <c r="F83" i="6"/>
  <c r="E83" i="6"/>
  <c r="D83" i="6"/>
  <c r="F82" i="6"/>
  <c r="E82" i="6"/>
  <c r="D82" i="6"/>
  <c r="F81" i="6"/>
  <c r="E81" i="6"/>
  <c r="D81" i="6"/>
  <c r="F80" i="6"/>
  <c r="E80" i="6"/>
  <c r="D80" i="6"/>
  <c r="F79" i="6"/>
  <c r="E79" i="6"/>
  <c r="D79" i="6"/>
  <c r="F78" i="6"/>
  <c r="E78" i="6"/>
  <c r="D78" i="6"/>
  <c r="F77" i="6"/>
  <c r="E77" i="6"/>
  <c r="D77" i="6"/>
  <c r="F76" i="6"/>
  <c r="E76" i="6"/>
  <c r="D76" i="6"/>
  <c r="F75" i="6"/>
  <c r="E75" i="6"/>
  <c r="D75" i="6"/>
  <c r="F74" i="6"/>
  <c r="E74" i="6"/>
  <c r="D74" i="6"/>
  <c r="F73" i="6"/>
  <c r="E73" i="6"/>
  <c r="D73" i="6"/>
  <c r="F72" i="6"/>
  <c r="E72" i="6"/>
  <c r="D72" i="6"/>
  <c r="F71" i="6"/>
  <c r="E71" i="6"/>
  <c r="D71" i="6"/>
  <c r="F70" i="6"/>
  <c r="E70" i="6"/>
  <c r="D70" i="6"/>
  <c r="F69" i="6"/>
  <c r="E69" i="6"/>
  <c r="D69" i="6"/>
  <c r="F68" i="6"/>
  <c r="E68" i="6"/>
  <c r="D68" i="6"/>
  <c r="F67" i="6"/>
  <c r="E67" i="6"/>
  <c r="D67" i="6"/>
  <c r="F66" i="6"/>
  <c r="E66" i="6"/>
  <c r="D66" i="6"/>
  <c r="F65" i="6"/>
  <c r="E65" i="6"/>
  <c r="D65" i="6"/>
  <c r="F64" i="6"/>
  <c r="E64" i="6"/>
  <c r="D64" i="6"/>
  <c r="F63" i="6"/>
  <c r="E63" i="6"/>
  <c r="D63" i="6"/>
  <c r="F62" i="6"/>
  <c r="E62" i="6"/>
  <c r="D62" i="6"/>
  <c r="F61" i="6"/>
  <c r="E61" i="6"/>
  <c r="D61" i="6"/>
  <c r="F60" i="6"/>
  <c r="E60" i="6"/>
  <c r="D60" i="6"/>
  <c r="F59" i="6"/>
  <c r="E59" i="6"/>
  <c r="D59" i="6"/>
  <c r="F58" i="6"/>
  <c r="E58" i="6"/>
  <c r="D58" i="6"/>
  <c r="F57" i="6"/>
  <c r="E57" i="6"/>
  <c r="D57" i="6"/>
  <c r="F56" i="6"/>
  <c r="E56" i="6"/>
  <c r="D56" i="6"/>
  <c r="F55" i="6"/>
  <c r="E55" i="6"/>
  <c r="D55" i="6"/>
  <c r="F54" i="6"/>
  <c r="E54" i="6"/>
  <c r="D54" i="6"/>
  <c r="F53" i="6"/>
  <c r="E53" i="6"/>
  <c r="D53" i="6"/>
  <c r="F52" i="6"/>
  <c r="E52" i="6"/>
  <c r="D52" i="6"/>
  <c r="F51" i="6"/>
  <c r="E51" i="6"/>
  <c r="D51" i="6"/>
  <c r="F50" i="6"/>
  <c r="E50" i="6"/>
  <c r="D50" i="6"/>
  <c r="F49" i="6"/>
  <c r="E49" i="6"/>
  <c r="D49" i="6"/>
  <c r="F48" i="6"/>
  <c r="E48" i="6"/>
  <c r="D48" i="6"/>
  <c r="F47" i="6"/>
  <c r="E47" i="6"/>
  <c r="D47" i="6"/>
  <c r="F46" i="6"/>
  <c r="E46" i="6"/>
  <c r="D46" i="6"/>
  <c r="F45" i="6"/>
  <c r="E45" i="6"/>
  <c r="D45" i="6"/>
  <c r="F44" i="6"/>
  <c r="E44" i="6"/>
  <c r="D44" i="6"/>
  <c r="F43" i="6"/>
  <c r="E43" i="6"/>
  <c r="D43" i="6"/>
  <c r="F42" i="6"/>
  <c r="E42" i="6"/>
  <c r="D42" i="6"/>
  <c r="F41" i="6"/>
  <c r="E41" i="6"/>
  <c r="D41" i="6"/>
  <c r="F40" i="6"/>
  <c r="E40" i="6"/>
  <c r="D40" i="6"/>
  <c r="F39" i="6"/>
  <c r="E39" i="6"/>
  <c r="D39" i="6"/>
  <c r="F38" i="6"/>
  <c r="E38" i="6"/>
  <c r="D38" i="6"/>
  <c r="F37" i="6"/>
  <c r="E37" i="6"/>
  <c r="D37" i="6"/>
  <c r="F36" i="6"/>
  <c r="E36" i="6"/>
  <c r="D36" i="6"/>
  <c r="F35" i="6"/>
  <c r="E35" i="6"/>
  <c r="D35" i="6"/>
  <c r="F34" i="6"/>
  <c r="E34" i="6"/>
  <c r="D34" i="6"/>
  <c r="F33" i="6"/>
  <c r="E33" i="6"/>
  <c r="D33" i="6"/>
  <c r="F32" i="6"/>
  <c r="E32" i="6"/>
  <c r="D32" i="6"/>
  <c r="F31" i="6"/>
  <c r="E31" i="6"/>
  <c r="D31" i="6"/>
  <c r="F30" i="6"/>
  <c r="E30" i="6"/>
  <c r="D30" i="6"/>
  <c r="F29" i="6"/>
  <c r="E29" i="6"/>
  <c r="D29" i="6"/>
  <c r="F28" i="6"/>
  <c r="E28" i="6"/>
  <c r="D28" i="6"/>
  <c r="F27" i="6"/>
  <c r="E27" i="6"/>
  <c r="D27" i="6"/>
  <c r="F26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F14" i="6"/>
  <c r="E14" i="6"/>
  <c r="D14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F7" i="6"/>
  <c r="E7" i="6"/>
  <c r="D7" i="6"/>
  <c r="F6" i="6"/>
  <c r="E6" i="6"/>
  <c r="D6" i="6"/>
  <c r="F5" i="6"/>
  <c r="E5" i="6"/>
  <c r="D5" i="6"/>
  <c r="F4" i="6"/>
  <c r="E4" i="6"/>
  <c r="D4" i="6"/>
  <c r="F3" i="6"/>
  <c r="E3" i="6"/>
  <c r="D3" i="6"/>
  <c r="C2" i="6"/>
  <c r="F280" i="5"/>
  <c r="E280" i="5"/>
  <c r="D280" i="5"/>
  <c r="F279" i="5"/>
  <c r="E279" i="5"/>
  <c r="D279" i="5"/>
  <c r="F278" i="5"/>
  <c r="E278" i="5"/>
  <c r="D278" i="5"/>
  <c r="F277" i="5"/>
  <c r="E277" i="5"/>
  <c r="D277" i="5"/>
  <c r="F276" i="5"/>
  <c r="E276" i="5"/>
  <c r="D276" i="5"/>
  <c r="F275" i="5"/>
  <c r="E275" i="5"/>
  <c r="D275" i="5"/>
  <c r="F274" i="5"/>
  <c r="E274" i="5"/>
  <c r="D274" i="5"/>
  <c r="F273" i="5"/>
  <c r="E273" i="5"/>
  <c r="D273" i="5"/>
  <c r="F272" i="5"/>
  <c r="E272" i="5"/>
  <c r="D272" i="5"/>
  <c r="F271" i="5"/>
  <c r="E271" i="5"/>
  <c r="D271" i="5"/>
  <c r="F270" i="5"/>
  <c r="E270" i="5"/>
  <c r="D270" i="5"/>
  <c r="F269" i="5"/>
  <c r="E269" i="5"/>
  <c r="D269" i="5"/>
  <c r="F268" i="5"/>
  <c r="E268" i="5"/>
  <c r="D268" i="5"/>
  <c r="F267" i="5"/>
  <c r="E267" i="5"/>
  <c r="D267" i="5"/>
  <c r="F266" i="5"/>
  <c r="E266" i="5"/>
  <c r="D266" i="5"/>
  <c r="F265" i="5"/>
  <c r="E265" i="5"/>
  <c r="D265" i="5"/>
  <c r="F264" i="5"/>
  <c r="E264" i="5"/>
  <c r="D264" i="5"/>
  <c r="F263" i="5"/>
  <c r="E263" i="5"/>
  <c r="D263" i="5"/>
  <c r="F262" i="5"/>
  <c r="E262" i="5"/>
  <c r="D262" i="5"/>
  <c r="F261" i="5"/>
  <c r="E261" i="5"/>
  <c r="D261" i="5"/>
  <c r="F260" i="5"/>
  <c r="E260" i="5"/>
  <c r="D260" i="5"/>
  <c r="F259" i="5"/>
  <c r="E259" i="5"/>
  <c r="D259" i="5"/>
  <c r="F258" i="5"/>
  <c r="E258" i="5"/>
  <c r="D258" i="5"/>
  <c r="F257" i="5"/>
  <c r="E257" i="5"/>
  <c r="D257" i="5"/>
  <c r="F256" i="5"/>
  <c r="E256" i="5"/>
  <c r="D256" i="5"/>
  <c r="F255" i="5"/>
  <c r="E255" i="5"/>
  <c r="D255" i="5"/>
  <c r="F254" i="5"/>
  <c r="E254" i="5"/>
  <c r="D254" i="5"/>
  <c r="F253" i="5"/>
  <c r="E253" i="5"/>
  <c r="D253" i="5"/>
  <c r="F252" i="5"/>
  <c r="E252" i="5"/>
  <c r="D252" i="5"/>
  <c r="F251" i="5"/>
  <c r="E251" i="5"/>
  <c r="D251" i="5"/>
  <c r="F250" i="5"/>
  <c r="E250" i="5"/>
  <c r="D250" i="5"/>
  <c r="F249" i="5"/>
  <c r="E249" i="5"/>
  <c r="D249" i="5"/>
  <c r="F248" i="5"/>
  <c r="E248" i="5"/>
  <c r="D248" i="5"/>
  <c r="F247" i="5"/>
  <c r="E247" i="5"/>
  <c r="D247" i="5"/>
  <c r="F246" i="5"/>
  <c r="E246" i="5"/>
  <c r="D246" i="5"/>
  <c r="F245" i="5"/>
  <c r="E245" i="5"/>
  <c r="D245" i="5"/>
  <c r="F244" i="5"/>
  <c r="E244" i="5"/>
  <c r="D244" i="5"/>
  <c r="F243" i="5"/>
  <c r="E243" i="5"/>
  <c r="D243" i="5"/>
  <c r="F242" i="5"/>
  <c r="E242" i="5"/>
  <c r="D242" i="5"/>
  <c r="F241" i="5"/>
  <c r="E241" i="5"/>
  <c r="D241" i="5"/>
  <c r="F240" i="5"/>
  <c r="E240" i="5"/>
  <c r="D240" i="5"/>
  <c r="F239" i="5"/>
  <c r="E239" i="5"/>
  <c r="D239" i="5"/>
  <c r="F238" i="5"/>
  <c r="E238" i="5"/>
  <c r="D238" i="5"/>
  <c r="F237" i="5"/>
  <c r="E237" i="5"/>
  <c r="D237" i="5"/>
  <c r="F236" i="5"/>
  <c r="E236" i="5"/>
  <c r="D236" i="5"/>
  <c r="F235" i="5"/>
  <c r="E235" i="5"/>
  <c r="D235" i="5"/>
  <c r="F234" i="5"/>
  <c r="E234" i="5"/>
  <c r="D234" i="5"/>
  <c r="F233" i="5"/>
  <c r="E233" i="5"/>
  <c r="D233" i="5"/>
  <c r="F232" i="5"/>
  <c r="E232" i="5"/>
  <c r="D232" i="5"/>
  <c r="F231" i="5"/>
  <c r="E231" i="5"/>
  <c r="D231" i="5"/>
  <c r="F230" i="5"/>
  <c r="E230" i="5"/>
  <c r="D230" i="5"/>
  <c r="F229" i="5"/>
  <c r="E229" i="5"/>
  <c r="D229" i="5"/>
  <c r="F228" i="5"/>
  <c r="E228" i="5"/>
  <c r="D228" i="5"/>
  <c r="F227" i="5"/>
  <c r="E227" i="5"/>
  <c r="D227" i="5"/>
  <c r="F226" i="5"/>
  <c r="E226" i="5"/>
  <c r="D226" i="5"/>
  <c r="F225" i="5"/>
  <c r="E225" i="5"/>
  <c r="D225" i="5"/>
  <c r="F224" i="5"/>
  <c r="E224" i="5"/>
  <c r="D224" i="5"/>
  <c r="F223" i="5"/>
  <c r="E223" i="5"/>
  <c r="D223" i="5"/>
  <c r="F222" i="5"/>
  <c r="E222" i="5"/>
  <c r="D222" i="5"/>
  <c r="F221" i="5"/>
  <c r="E221" i="5"/>
  <c r="D221" i="5"/>
  <c r="F220" i="5"/>
  <c r="E220" i="5"/>
  <c r="D220" i="5"/>
  <c r="F219" i="5"/>
  <c r="E219" i="5"/>
  <c r="D219" i="5"/>
  <c r="F218" i="5"/>
  <c r="E218" i="5"/>
  <c r="D218" i="5"/>
  <c r="F217" i="5"/>
  <c r="E217" i="5"/>
  <c r="D217" i="5"/>
  <c r="F216" i="5"/>
  <c r="E216" i="5"/>
  <c r="D216" i="5"/>
  <c r="F215" i="5"/>
  <c r="E215" i="5"/>
  <c r="D215" i="5"/>
  <c r="F214" i="5"/>
  <c r="E214" i="5"/>
  <c r="D214" i="5"/>
  <c r="F213" i="5"/>
  <c r="E213" i="5"/>
  <c r="D213" i="5"/>
  <c r="F212" i="5"/>
  <c r="E212" i="5"/>
  <c r="D212" i="5"/>
  <c r="F211" i="5"/>
  <c r="E211" i="5"/>
  <c r="D211" i="5"/>
  <c r="F210" i="5"/>
  <c r="E210" i="5"/>
  <c r="D210" i="5"/>
  <c r="F209" i="5"/>
  <c r="E209" i="5"/>
  <c r="D209" i="5"/>
  <c r="F208" i="5"/>
  <c r="E208" i="5"/>
  <c r="D208" i="5"/>
  <c r="F207" i="5"/>
  <c r="E207" i="5"/>
  <c r="D207" i="5"/>
  <c r="F206" i="5"/>
  <c r="E206" i="5"/>
  <c r="D206" i="5"/>
  <c r="F205" i="5"/>
  <c r="E205" i="5"/>
  <c r="D205" i="5"/>
  <c r="F204" i="5"/>
  <c r="E204" i="5"/>
  <c r="D204" i="5"/>
  <c r="F203" i="5"/>
  <c r="E203" i="5"/>
  <c r="D203" i="5"/>
  <c r="F202" i="5"/>
  <c r="E202" i="5"/>
  <c r="D202" i="5"/>
  <c r="F201" i="5"/>
  <c r="E201" i="5"/>
  <c r="D201" i="5"/>
  <c r="F200" i="5"/>
  <c r="E200" i="5"/>
  <c r="D200" i="5"/>
  <c r="F199" i="5"/>
  <c r="E199" i="5"/>
  <c r="D199" i="5"/>
  <c r="F198" i="5"/>
  <c r="E198" i="5"/>
  <c r="D198" i="5"/>
  <c r="F197" i="5"/>
  <c r="E197" i="5"/>
  <c r="D197" i="5"/>
  <c r="F196" i="5"/>
  <c r="E196" i="5"/>
  <c r="D196" i="5"/>
  <c r="F195" i="5"/>
  <c r="E195" i="5"/>
  <c r="D195" i="5"/>
  <c r="F194" i="5"/>
  <c r="E194" i="5"/>
  <c r="D194" i="5"/>
  <c r="F193" i="5"/>
  <c r="E193" i="5"/>
  <c r="D193" i="5"/>
  <c r="F192" i="5"/>
  <c r="E192" i="5"/>
  <c r="D192" i="5"/>
  <c r="F191" i="5"/>
  <c r="E191" i="5"/>
  <c r="D191" i="5"/>
  <c r="F190" i="5"/>
  <c r="E190" i="5"/>
  <c r="D190" i="5"/>
  <c r="F189" i="5"/>
  <c r="E189" i="5"/>
  <c r="D189" i="5"/>
  <c r="F188" i="5"/>
  <c r="E188" i="5"/>
  <c r="D188" i="5"/>
  <c r="F187" i="5"/>
  <c r="E187" i="5"/>
  <c r="D187" i="5"/>
  <c r="F186" i="5"/>
  <c r="E186" i="5"/>
  <c r="D186" i="5"/>
  <c r="F185" i="5"/>
  <c r="E185" i="5"/>
  <c r="D185" i="5"/>
  <c r="F184" i="5"/>
  <c r="E184" i="5"/>
  <c r="D184" i="5"/>
  <c r="F183" i="5"/>
  <c r="E183" i="5"/>
  <c r="D183" i="5"/>
  <c r="F182" i="5"/>
  <c r="E182" i="5"/>
  <c r="D182" i="5"/>
  <c r="F181" i="5"/>
  <c r="E181" i="5"/>
  <c r="D181" i="5"/>
  <c r="F180" i="5"/>
  <c r="E180" i="5"/>
  <c r="D180" i="5"/>
  <c r="F179" i="5"/>
  <c r="E179" i="5"/>
  <c r="D179" i="5"/>
  <c r="F178" i="5"/>
  <c r="E178" i="5"/>
  <c r="D178" i="5"/>
  <c r="F177" i="5"/>
  <c r="E177" i="5"/>
  <c r="D177" i="5"/>
  <c r="F176" i="5"/>
  <c r="E176" i="5"/>
  <c r="D176" i="5"/>
  <c r="F175" i="5"/>
  <c r="E175" i="5"/>
  <c r="D175" i="5"/>
  <c r="F174" i="5"/>
  <c r="E174" i="5"/>
  <c r="D174" i="5"/>
  <c r="F173" i="5"/>
  <c r="E173" i="5"/>
  <c r="D173" i="5"/>
  <c r="F172" i="5"/>
  <c r="E172" i="5"/>
  <c r="D172" i="5"/>
  <c r="F171" i="5"/>
  <c r="E171" i="5"/>
  <c r="D171" i="5"/>
  <c r="F170" i="5"/>
  <c r="E170" i="5"/>
  <c r="D170" i="5"/>
  <c r="F169" i="5"/>
  <c r="E169" i="5"/>
  <c r="D169" i="5"/>
  <c r="F168" i="5"/>
  <c r="E168" i="5"/>
  <c r="D168" i="5"/>
  <c r="F167" i="5"/>
  <c r="E167" i="5"/>
  <c r="D167" i="5"/>
  <c r="F166" i="5"/>
  <c r="E166" i="5"/>
  <c r="D166" i="5"/>
  <c r="F165" i="5"/>
  <c r="E165" i="5"/>
  <c r="D165" i="5"/>
  <c r="F164" i="5"/>
  <c r="E164" i="5"/>
  <c r="D164" i="5"/>
  <c r="F163" i="5"/>
  <c r="E163" i="5"/>
  <c r="D163" i="5"/>
  <c r="F162" i="5"/>
  <c r="E162" i="5"/>
  <c r="D162" i="5"/>
  <c r="F161" i="5"/>
  <c r="E161" i="5"/>
  <c r="D161" i="5"/>
  <c r="F160" i="5"/>
  <c r="E160" i="5"/>
  <c r="D160" i="5"/>
  <c r="F159" i="5"/>
  <c r="E159" i="5"/>
  <c r="D159" i="5"/>
  <c r="F158" i="5"/>
  <c r="E158" i="5"/>
  <c r="D158" i="5"/>
  <c r="F157" i="5"/>
  <c r="E157" i="5"/>
  <c r="D157" i="5"/>
  <c r="F156" i="5"/>
  <c r="E156" i="5"/>
  <c r="D156" i="5"/>
  <c r="F155" i="5"/>
  <c r="E155" i="5"/>
  <c r="D155" i="5"/>
  <c r="F154" i="5"/>
  <c r="E154" i="5"/>
  <c r="D154" i="5"/>
  <c r="F153" i="5"/>
  <c r="E153" i="5"/>
  <c r="D153" i="5"/>
  <c r="F152" i="5"/>
  <c r="E152" i="5"/>
  <c r="D152" i="5"/>
  <c r="F151" i="5"/>
  <c r="E151" i="5"/>
  <c r="D151" i="5"/>
  <c r="F150" i="5"/>
  <c r="E150" i="5"/>
  <c r="D150" i="5"/>
  <c r="F149" i="5"/>
  <c r="E149" i="5"/>
  <c r="D149" i="5"/>
  <c r="F148" i="5"/>
  <c r="E148" i="5"/>
  <c r="D148" i="5"/>
  <c r="F147" i="5"/>
  <c r="E147" i="5"/>
  <c r="D147" i="5"/>
  <c r="F146" i="5"/>
  <c r="E146" i="5"/>
  <c r="D146" i="5"/>
  <c r="F145" i="5"/>
  <c r="E145" i="5"/>
  <c r="D145" i="5"/>
  <c r="F144" i="5"/>
  <c r="E144" i="5"/>
  <c r="D144" i="5"/>
  <c r="F143" i="5"/>
  <c r="E143" i="5"/>
  <c r="D143" i="5"/>
  <c r="F142" i="5"/>
  <c r="E142" i="5"/>
  <c r="D142" i="5"/>
  <c r="F141" i="5"/>
  <c r="E141" i="5"/>
  <c r="D141" i="5"/>
  <c r="F140" i="5"/>
  <c r="E140" i="5"/>
  <c r="D140" i="5"/>
  <c r="F139" i="5"/>
  <c r="E139" i="5"/>
  <c r="D139" i="5"/>
  <c r="F138" i="5"/>
  <c r="E138" i="5"/>
  <c r="D138" i="5"/>
  <c r="F137" i="5"/>
  <c r="E137" i="5"/>
  <c r="D137" i="5"/>
  <c r="F136" i="5"/>
  <c r="E136" i="5"/>
  <c r="D136" i="5"/>
  <c r="F135" i="5"/>
  <c r="E135" i="5"/>
  <c r="D135" i="5"/>
  <c r="F134" i="5"/>
  <c r="E134" i="5"/>
  <c r="D134" i="5"/>
  <c r="F133" i="5"/>
  <c r="E133" i="5"/>
  <c r="D133" i="5"/>
  <c r="F132" i="5"/>
  <c r="E132" i="5"/>
  <c r="D132" i="5"/>
  <c r="F131" i="5"/>
  <c r="E131" i="5"/>
  <c r="D131" i="5"/>
  <c r="F130" i="5"/>
  <c r="E130" i="5"/>
  <c r="D130" i="5"/>
  <c r="F129" i="5"/>
  <c r="E129" i="5"/>
  <c r="D129" i="5"/>
  <c r="F128" i="5"/>
  <c r="E128" i="5"/>
  <c r="D128" i="5"/>
  <c r="F127" i="5"/>
  <c r="E127" i="5"/>
  <c r="D127" i="5"/>
  <c r="F126" i="5"/>
  <c r="E126" i="5"/>
  <c r="D126" i="5"/>
  <c r="F125" i="5"/>
  <c r="E125" i="5"/>
  <c r="D125" i="5"/>
  <c r="F124" i="5"/>
  <c r="E124" i="5"/>
  <c r="D124" i="5"/>
  <c r="F123" i="5"/>
  <c r="E123" i="5"/>
  <c r="D123" i="5"/>
  <c r="F122" i="5"/>
  <c r="E122" i="5"/>
  <c r="D122" i="5"/>
  <c r="F121" i="5"/>
  <c r="E121" i="5"/>
  <c r="D121" i="5"/>
  <c r="F120" i="5"/>
  <c r="E120" i="5"/>
  <c r="D120" i="5"/>
  <c r="F119" i="5"/>
  <c r="E119" i="5"/>
  <c r="D119" i="5"/>
  <c r="F118" i="5"/>
  <c r="E118" i="5"/>
  <c r="D118" i="5"/>
  <c r="F117" i="5"/>
  <c r="E117" i="5"/>
  <c r="D117" i="5"/>
  <c r="F116" i="5"/>
  <c r="E116" i="5"/>
  <c r="D116" i="5"/>
  <c r="F115" i="5"/>
  <c r="E115" i="5"/>
  <c r="D115" i="5"/>
  <c r="F114" i="5"/>
  <c r="E114" i="5"/>
  <c r="D114" i="5"/>
  <c r="F113" i="5"/>
  <c r="E113" i="5"/>
  <c r="D113" i="5"/>
  <c r="F112" i="5"/>
  <c r="E112" i="5"/>
  <c r="D112" i="5"/>
  <c r="F111" i="5"/>
  <c r="E111" i="5"/>
  <c r="D111" i="5"/>
  <c r="F110" i="5"/>
  <c r="E110" i="5"/>
  <c r="D110" i="5"/>
  <c r="F109" i="5"/>
  <c r="E109" i="5"/>
  <c r="D109" i="5"/>
  <c r="F108" i="5"/>
  <c r="E108" i="5"/>
  <c r="D108" i="5"/>
  <c r="F107" i="5"/>
  <c r="E107" i="5"/>
  <c r="D107" i="5"/>
  <c r="F106" i="5"/>
  <c r="E106" i="5"/>
  <c r="D106" i="5"/>
  <c r="F105" i="5"/>
  <c r="E105" i="5"/>
  <c r="D105" i="5"/>
  <c r="F104" i="5"/>
  <c r="E104" i="5"/>
  <c r="D104" i="5"/>
  <c r="F103" i="5"/>
  <c r="E103" i="5"/>
  <c r="D103" i="5"/>
  <c r="F102" i="5"/>
  <c r="E102" i="5"/>
  <c r="D102" i="5"/>
  <c r="F101" i="5"/>
  <c r="E101" i="5"/>
  <c r="D101" i="5"/>
  <c r="F100" i="5"/>
  <c r="E100" i="5"/>
  <c r="D100" i="5"/>
  <c r="F99" i="5"/>
  <c r="E99" i="5"/>
  <c r="D99" i="5"/>
  <c r="F98" i="5"/>
  <c r="E98" i="5"/>
  <c r="D98" i="5"/>
  <c r="F97" i="5"/>
  <c r="E97" i="5"/>
  <c r="D97" i="5"/>
  <c r="F96" i="5"/>
  <c r="E96" i="5"/>
  <c r="D96" i="5"/>
  <c r="F95" i="5"/>
  <c r="E95" i="5"/>
  <c r="D95" i="5"/>
  <c r="F94" i="5"/>
  <c r="E94" i="5"/>
  <c r="D94" i="5"/>
  <c r="F93" i="5"/>
  <c r="E93" i="5"/>
  <c r="D93" i="5"/>
  <c r="F92" i="5"/>
  <c r="E92" i="5"/>
  <c r="D92" i="5"/>
  <c r="F91" i="5"/>
  <c r="E91" i="5"/>
  <c r="D91" i="5"/>
  <c r="F90" i="5"/>
  <c r="E90" i="5"/>
  <c r="D90" i="5"/>
  <c r="F89" i="5"/>
  <c r="E89" i="5"/>
  <c r="D89" i="5"/>
  <c r="F88" i="5"/>
  <c r="E88" i="5"/>
  <c r="D88" i="5"/>
  <c r="F87" i="5"/>
  <c r="E87" i="5"/>
  <c r="D87" i="5"/>
  <c r="F86" i="5"/>
  <c r="E86" i="5"/>
  <c r="D86" i="5"/>
  <c r="F85" i="5"/>
  <c r="E85" i="5"/>
  <c r="D85" i="5"/>
  <c r="F84" i="5"/>
  <c r="E84" i="5"/>
  <c r="D84" i="5"/>
  <c r="F83" i="5"/>
  <c r="E83" i="5"/>
  <c r="D83" i="5"/>
  <c r="F82" i="5"/>
  <c r="E82" i="5"/>
  <c r="D82" i="5"/>
  <c r="F81" i="5"/>
  <c r="E81" i="5"/>
  <c r="D81" i="5"/>
  <c r="F80" i="5"/>
  <c r="E80" i="5"/>
  <c r="D80" i="5"/>
  <c r="F79" i="5"/>
  <c r="E79" i="5"/>
  <c r="D79" i="5"/>
  <c r="F78" i="5"/>
  <c r="E78" i="5"/>
  <c r="D78" i="5"/>
  <c r="F77" i="5"/>
  <c r="E77" i="5"/>
  <c r="D77" i="5"/>
  <c r="F76" i="5"/>
  <c r="E76" i="5"/>
  <c r="D76" i="5"/>
  <c r="F75" i="5"/>
  <c r="E75" i="5"/>
  <c r="D75" i="5"/>
  <c r="F74" i="5"/>
  <c r="E74" i="5"/>
  <c r="D74" i="5"/>
  <c r="F73" i="5"/>
  <c r="E73" i="5"/>
  <c r="D73" i="5"/>
  <c r="F72" i="5"/>
  <c r="E72" i="5"/>
  <c r="D72" i="5"/>
  <c r="F71" i="5"/>
  <c r="E71" i="5"/>
  <c r="D71" i="5"/>
  <c r="F70" i="5"/>
  <c r="E70" i="5"/>
  <c r="D70" i="5"/>
  <c r="F69" i="5"/>
  <c r="E69" i="5"/>
  <c r="D69" i="5"/>
  <c r="F68" i="5"/>
  <c r="E68" i="5"/>
  <c r="D68" i="5"/>
  <c r="F67" i="5"/>
  <c r="E67" i="5"/>
  <c r="D67" i="5"/>
  <c r="F66" i="5"/>
  <c r="E66" i="5"/>
  <c r="D66" i="5"/>
  <c r="F65" i="5"/>
  <c r="E65" i="5"/>
  <c r="D65" i="5"/>
  <c r="F64" i="5"/>
  <c r="E64" i="5"/>
  <c r="D64" i="5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F8" i="5"/>
  <c r="E8" i="5"/>
  <c r="D8" i="5"/>
  <c r="F7" i="5"/>
  <c r="E7" i="5"/>
  <c r="D7" i="5"/>
  <c r="F6" i="5"/>
  <c r="E6" i="5"/>
  <c r="D6" i="5"/>
  <c r="F5" i="5"/>
  <c r="E5" i="5"/>
  <c r="D5" i="5"/>
  <c r="F4" i="5"/>
  <c r="E4" i="5"/>
  <c r="D4" i="5"/>
  <c r="F3" i="5"/>
  <c r="E3" i="5"/>
  <c r="D3" i="5"/>
  <c r="C2" i="5"/>
  <c r="F280" i="4"/>
  <c r="E280" i="4"/>
  <c r="D280" i="4"/>
  <c r="F279" i="4"/>
  <c r="E279" i="4"/>
  <c r="D279" i="4"/>
  <c r="F278" i="4"/>
  <c r="E278" i="4"/>
  <c r="D278" i="4"/>
  <c r="F277" i="4"/>
  <c r="E277" i="4"/>
  <c r="D277" i="4"/>
  <c r="F276" i="4"/>
  <c r="E276" i="4"/>
  <c r="D276" i="4"/>
  <c r="F275" i="4"/>
  <c r="E275" i="4"/>
  <c r="D275" i="4"/>
  <c r="F274" i="4"/>
  <c r="E274" i="4"/>
  <c r="D274" i="4"/>
  <c r="F273" i="4"/>
  <c r="E273" i="4"/>
  <c r="D273" i="4"/>
  <c r="F272" i="4"/>
  <c r="E272" i="4"/>
  <c r="D272" i="4"/>
  <c r="F271" i="4"/>
  <c r="E271" i="4"/>
  <c r="D271" i="4"/>
  <c r="F270" i="4"/>
  <c r="E270" i="4"/>
  <c r="D270" i="4"/>
  <c r="F269" i="4"/>
  <c r="E269" i="4"/>
  <c r="D269" i="4"/>
  <c r="F268" i="4"/>
  <c r="E268" i="4"/>
  <c r="D268" i="4"/>
  <c r="F267" i="4"/>
  <c r="E267" i="4"/>
  <c r="D267" i="4"/>
  <c r="F266" i="4"/>
  <c r="E266" i="4"/>
  <c r="D266" i="4"/>
  <c r="F265" i="4"/>
  <c r="E265" i="4"/>
  <c r="D265" i="4"/>
  <c r="F264" i="4"/>
  <c r="E264" i="4"/>
  <c r="D264" i="4"/>
  <c r="F263" i="4"/>
  <c r="E263" i="4"/>
  <c r="D263" i="4"/>
  <c r="F262" i="4"/>
  <c r="E262" i="4"/>
  <c r="D262" i="4"/>
  <c r="F261" i="4"/>
  <c r="E261" i="4"/>
  <c r="D261" i="4"/>
  <c r="F260" i="4"/>
  <c r="E260" i="4"/>
  <c r="D260" i="4"/>
  <c r="F259" i="4"/>
  <c r="E259" i="4"/>
  <c r="D259" i="4"/>
  <c r="F258" i="4"/>
  <c r="E258" i="4"/>
  <c r="D258" i="4"/>
  <c r="F257" i="4"/>
  <c r="E257" i="4"/>
  <c r="D257" i="4"/>
  <c r="F256" i="4"/>
  <c r="E256" i="4"/>
  <c r="D256" i="4"/>
  <c r="F255" i="4"/>
  <c r="E255" i="4"/>
  <c r="D255" i="4"/>
  <c r="F254" i="4"/>
  <c r="E254" i="4"/>
  <c r="D254" i="4"/>
  <c r="F253" i="4"/>
  <c r="E253" i="4"/>
  <c r="D253" i="4"/>
  <c r="F252" i="4"/>
  <c r="E252" i="4"/>
  <c r="D252" i="4"/>
  <c r="F251" i="4"/>
  <c r="E251" i="4"/>
  <c r="D251" i="4"/>
  <c r="F250" i="4"/>
  <c r="E250" i="4"/>
  <c r="D250" i="4"/>
  <c r="F249" i="4"/>
  <c r="E249" i="4"/>
  <c r="D249" i="4"/>
  <c r="F248" i="4"/>
  <c r="E248" i="4"/>
  <c r="D248" i="4"/>
  <c r="F247" i="4"/>
  <c r="E247" i="4"/>
  <c r="D247" i="4"/>
  <c r="F246" i="4"/>
  <c r="E246" i="4"/>
  <c r="D246" i="4"/>
  <c r="F245" i="4"/>
  <c r="E245" i="4"/>
  <c r="D245" i="4"/>
  <c r="F244" i="4"/>
  <c r="E244" i="4"/>
  <c r="D244" i="4"/>
  <c r="F243" i="4"/>
  <c r="E243" i="4"/>
  <c r="D243" i="4"/>
  <c r="F242" i="4"/>
  <c r="E242" i="4"/>
  <c r="D242" i="4"/>
  <c r="F241" i="4"/>
  <c r="E241" i="4"/>
  <c r="D241" i="4"/>
  <c r="F240" i="4"/>
  <c r="E240" i="4"/>
  <c r="D240" i="4"/>
  <c r="F239" i="4"/>
  <c r="E239" i="4"/>
  <c r="D239" i="4"/>
  <c r="F238" i="4"/>
  <c r="E238" i="4"/>
  <c r="D238" i="4"/>
  <c r="F237" i="4"/>
  <c r="E237" i="4"/>
  <c r="D237" i="4"/>
  <c r="F236" i="4"/>
  <c r="E236" i="4"/>
  <c r="D236" i="4"/>
  <c r="F235" i="4"/>
  <c r="E235" i="4"/>
  <c r="D235" i="4"/>
  <c r="F234" i="4"/>
  <c r="E234" i="4"/>
  <c r="D234" i="4"/>
  <c r="F233" i="4"/>
  <c r="E233" i="4"/>
  <c r="D233" i="4"/>
  <c r="F232" i="4"/>
  <c r="E232" i="4"/>
  <c r="D232" i="4"/>
  <c r="F231" i="4"/>
  <c r="E231" i="4"/>
  <c r="D231" i="4"/>
  <c r="F230" i="4"/>
  <c r="E230" i="4"/>
  <c r="D230" i="4"/>
  <c r="F229" i="4"/>
  <c r="E229" i="4"/>
  <c r="D229" i="4"/>
  <c r="F228" i="4"/>
  <c r="E228" i="4"/>
  <c r="D228" i="4"/>
  <c r="F227" i="4"/>
  <c r="E227" i="4"/>
  <c r="D227" i="4"/>
  <c r="F226" i="4"/>
  <c r="E226" i="4"/>
  <c r="D226" i="4"/>
  <c r="F225" i="4"/>
  <c r="E225" i="4"/>
  <c r="D225" i="4"/>
  <c r="F224" i="4"/>
  <c r="E224" i="4"/>
  <c r="D224" i="4"/>
  <c r="F223" i="4"/>
  <c r="E223" i="4"/>
  <c r="D223" i="4"/>
  <c r="F222" i="4"/>
  <c r="E222" i="4"/>
  <c r="D222" i="4"/>
  <c r="F221" i="4"/>
  <c r="E221" i="4"/>
  <c r="D221" i="4"/>
  <c r="F220" i="4"/>
  <c r="E220" i="4"/>
  <c r="D220" i="4"/>
  <c r="F219" i="4"/>
  <c r="E219" i="4"/>
  <c r="D219" i="4"/>
  <c r="F218" i="4"/>
  <c r="E218" i="4"/>
  <c r="D218" i="4"/>
  <c r="F217" i="4"/>
  <c r="E217" i="4"/>
  <c r="D217" i="4"/>
  <c r="F216" i="4"/>
  <c r="E216" i="4"/>
  <c r="D216" i="4"/>
  <c r="F215" i="4"/>
  <c r="E215" i="4"/>
  <c r="D215" i="4"/>
  <c r="F214" i="4"/>
  <c r="E214" i="4"/>
  <c r="D214" i="4"/>
  <c r="F213" i="4"/>
  <c r="E213" i="4"/>
  <c r="D213" i="4"/>
  <c r="F212" i="4"/>
  <c r="E212" i="4"/>
  <c r="D212" i="4"/>
  <c r="F211" i="4"/>
  <c r="E211" i="4"/>
  <c r="D211" i="4"/>
  <c r="F210" i="4"/>
  <c r="E210" i="4"/>
  <c r="D210" i="4"/>
  <c r="F209" i="4"/>
  <c r="E209" i="4"/>
  <c r="D209" i="4"/>
  <c r="F208" i="4"/>
  <c r="E208" i="4"/>
  <c r="D208" i="4"/>
  <c r="F207" i="4"/>
  <c r="E207" i="4"/>
  <c r="D207" i="4"/>
  <c r="F206" i="4"/>
  <c r="E206" i="4"/>
  <c r="D206" i="4"/>
  <c r="F205" i="4"/>
  <c r="E205" i="4"/>
  <c r="D205" i="4"/>
  <c r="F204" i="4"/>
  <c r="E204" i="4"/>
  <c r="D204" i="4"/>
  <c r="F203" i="4"/>
  <c r="E203" i="4"/>
  <c r="D203" i="4"/>
  <c r="F202" i="4"/>
  <c r="E202" i="4"/>
  <c r="D202" i="4"/>
  <c r="F201" i="4"/>
  <c r="E201" i="4"/>
  <c r="D201" i="4"/>
  <c r="F200" i="4"/>
  <c r="E200" i="4"/>
  <c r="D200" i="4"/>
  <c r="F199" i="4"/>
  <c r="E199" i="4"/>
  <c r="D199" i="4"/>
  <c r="F198" i="4"/>
  <c r="E198" i="4"/>
  <c r="D198" i="4"/>
  <c r="F197" i="4"/>
  <c r="E197" i="4"/>
  <c r="D197" i="4"/>
  <c r="F196" i="4"/>
  <c r="E196" i="4"/>
  <c r="D196" i="4"/>
  <c r="F195" i="4"/>
  <c r="E195" i="4"/>
  <c r="D195" i="4"/>
  <c r="F194" i="4"/>
  <c r="E194" i="4"/>
  <c r="D194" i="4"/>
  <c r="F193" i="4"/>
  <c r="E193" i="4"/>
  <c r="D193" i="4"/>
  <c r="F192" i="4"/>
  <c r="E192" i="4"/>
  <c r="D192" i="4"/>
  <c r="F191" i="4"/>
  <c r="E191" i="4"/>
  <c r="D191" i="4"/>
  <c r="F190" i="4"/>
  <c r="E190" i="4"/>
  <c r="D190" i="4"/>
  <c r="F189" i="4"/>
  <c r="E189" i="4"/>
  <c r="D189" i="4"/>
  <c r="F188" i="4"/>
  <c r="E188" i="4"/>
  <c r="D188" i="4"/>
  <c r="F187" i="4"/>
  <c r="E187" i="4"/>
  <c r="D187" i="4"/>
  <c r="F186" i="4"/>
  <c r="E186" i="4"/>
  <c r="D186" i="4"/>
  <c r="F185" i="4"/>
  <c r="E185" i="4"/>
  <c r="D185" i="4"/>
  <c r="F184" i="4"/>
  <c r="E184" i="4"/>
  <c r="D184" i="4"/>
  <c r="F183" i="4"/>
  <c r="E183" i="4"/>
  <c r="D183" i="4"/>
  <c r="F182" i="4"/>
  <c r="E182" i="4"/>
  <c r="D182" i="4"/>
  <c r="F181" i="4"/>
  <c r="E181" i="4"/>
  <c r="D181" i="4"/>
  <c r="F180" i="4"/>
  <c r="E180" i="4"/>
  <c r="D180" i="4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C2" i="4"/>
  <c r="F280" i="2"/>
  <c r="E280" i="2"/>
  <c r="D280" i="2"/>
  <c r="F279" i="2"/>
  <c r="E279" i="2"/>
  <c r="D279" i="2"/>
  <c r="F278" i="2"/>
  <c r="E278" i="2"/>
  <c r="D278" i="2"/>
  <c r="F277" i="2"/>
  <c r="E277" i="2"/>
  <c r="D277" i="2"/>
  <c r="F276" i="2"/>
  <c r="E276" i="2"/>
  <c r="D276" i="2"/>
  <c r="F275" i="2"/>
  <c r="E275" i="2"/>
  <c r="D275" i="2"/>
  <c r="F274" i="2"/>
  <c r="E274" i="2"/>
  <c r="D274" i="2"/>
  <c r="F273" i="2"/>
  <c r="E273" i="2"/>
  <c r="D273" i="2"/>
  <c r="F272" i="2"/>
  <c r="E272" i="2"/>
  <c r="D272" i="2"/>
  <c r="F271" i="2"/>
  <c r="E271" i="2"/>
  <c r="D271" i="2"/>
  <c r="F270" i="2"/>
  <c r="E270" i="2"/>
  <c r="D270" i="2"/>
  <c r="F269" i="2"/>
  <c r="E269" i="2"/>
  <c r="D269" i="2"/>
  <c r="F268" i="2"/>
  <c r="E268" i="2"/>
  <c r="D268" i="2"/>
  <c r="F267" i="2"/>
  <c r="E267" i="2"/>
  <c r="D267" i="2"/>
  <c r="F266" i="2"/>
  <c r="E266" i="2"/>
  <c r="D266" i="2"/>
  <c r="F265" i="2"/>
  <c r="E265" i="2"/>
  <c r="D265" i="2"/>
  <c r="F264" i="2"/>
  <c r="E264" i="2"/>
  <c r="D264" i="2"/>
  <c r="F263" i="2"/>
  <c r="E263" i="2"/>
  <c r="D263" i="2"/>
  <c r="F262" i="2"/>
  <c r="E262" i="2"/>
  <c r="D262" i="2"/>
  <c r="F261" i="2"/>
  <c r="E261" i="2"/>
  <c r="D261" i="2"/>
  <c r="F260" i="2"/>
  <c r="E260" i="2"/>
  <c r="D260" i="2"/>
  <c r="F259" i="2"/>
  <c r="E259" i="2"/>
  <c r="D259" i="2"/>
  <c r="F258" i="2"/>
  <c r="E258" i="2"/>
  <c r="D258" i="2"/>
  <c r="F257" i="2"/>
  <c r="E257" i="2"/>
  <c r="D257" i="2"/>
  <c r="F256" i="2"/>
  <c r="E256" i="2"/>
  <c r="D256" i="2"/>
  <c r="F255" i="2"/>
  <c r="E255" i="2"/>
  <c r="D255" i="2"/>
  <c r="F254" i="2"/>
  <c r="E254" i="2"/>
  <c r="D254" i="2"/>
  <c r="F253" i="2"/>
  <c r="E253" i="2"/>
  <c r="D253" i="2"/>
  <c r="F252" i="2"/>
  <c r="E252" i="2"/>
  <c r="D252" i="2"/>
  <c r="F251" i="2"/>
  <c r="E251" i="2"/>
  <c r="D251" i="2"/>
  <c r="F250" i="2"/>
  <c r="E250" i="2"/>
  <c r="D250" i="2"/>
  <c r="F249" i="2"/>
  <c r="E249" i="2"/>
  <c r="D249" i="2"/>
  <c r="F248" i="2"/>
  <c r="E248" i="2"/>
  <c r="D248" i="2"/>
  <c r="F247" i="2"/>
  <c r="E247" i="2"/>
  <c r="D247" i="2"/>
  <c r="F246" i="2"/>
  <c r="E246" i="2"/>
  <c r="D246" i="2"/>
  <c r="F245" i="2"/>
  <c r="E245" i="2"/>
  <c r="D245" i="2"/>
  <c r="F244" i="2"/>
  <c r="E244" i="2"/>
  <c r="D244" i="2"/>
  <c r="F243" i="2"/>
  <c r="E243" i="2"/>
  <c r="D243" i="2"/>
  <c r="F242" i="2"/>
  <c r="E242" i="2"/>
  <c r="D242" i="2"/>
  <c r="F241" i="2"/>
  <c r="E241" i="2"/>
  <c r="D241" i="2"/>
  <c r="F240" i="2"/>
  <c r="E240" i="2"/>
  <c r="D240" i="2"/>
  <c r="F239" i="2"/>
  <c r="E239" i="2"/>
  <c r="D239" i="2"/>
  <c r="F238" i="2"/>
  <c r="E238" i="2"/>
  <c r="D238" i="2"/>
  <c r="F237" i="2"/>
  <c r="E237" i="2"/>
  <c r="D237" i="2"/>
  <c r="F236" i="2"/>
  <c r="E236" i="2"/>
  <c r="D236" i="2"/>
  <c r="F235" i="2"/>
  <c r="E235" i="2"/>
  <c r="D235" i="2"/>
  <c r="F234" i="2"/>
  <c r="E234" i="2"/>
  <c r="D234" i="2"/>
  <c r="F233" i="2"/>
  <c r="E233" i="2"/>
  <c r="D233" i="2"/>
  <c r="F232" i="2"/>
  <c r="E232" i="2"/>
  <c r="D232" i="2"/>
  <c r="F231" i="2"/>
  <c r="E231" i="2"/>
  <c r="D231" i="2"/>
  <c r="F230" i="2"/>
  <c r="E230" i="2"/>
  <c r="D230" i="2"/>
  <c r="F229" i="2"/>
  <c r="E229" i="2"/>
  <c r="D229" i="2"/>
  <c r="F228" i="2"/>
  <c r="E228" i="2"/>
  <c r="D228" i="2"/>
  <c r="F227" i="2"/>
  <c r="E227" i="2"/>
  <c r="D227" i="2"/>
  <c r="F226" i="2"/>
  <c r="E226" i="2"/>
  <c r="D226" i="2"/>
  <c r="F225" i="2"/>
  <c r="E225" i="2"/>
  <c r="D225" i="2"/>
  <c r="F224" i="2"/>
  <c r="E224" i="2"/>
  <c r="D224" i="2"/>
  <c r="F223" i="2"/>
  <c r="E223" i="2"/>
  <c r="D223" i="2"/>
  <c r="F222" i="2"/>
  <c r="E222" i="2"/>
  <c r="D222" i="2"/>
  <c r="F221" i="2"/>
  <c r="E221" i="2"/>
  <c r="D221" i="2"/>
  <c r="F220" i="2"/>
  <c r="E220" i="2"/>
  <c r="D220" i="2"/>
  <c r="F219" i="2"/>
  <c r="E219" i="2"/>
  <c r="D219" i="2"/>
  <c r="F218" i="2"/>
  <c r="E218" i="2"/>
  <c r="D218" i="2"/>
  <c r="F217" i="2"/>
  <c r="E217" i="2"/>
  <c r="D217" i="2"/>
  <c r="F216" i="2"/>
  <c r="E216" i="2"/>
  <c r="D216" i="2"/>
  <c r="F215" i="2"/>
  <c r="E215" i="2"/>
  <c r="D215" i="2"/>
  <c r="F214" i="2"/>
  <c r="E214" i="2"/>
  <c r="D214" i="2"/>
  <c r="F213" i="2"/>
  <c r="E213" i="2"/>
  <c r="D213" i="2"/>
  <c r="F212" i="2"/>
  <c r="E212" i="2"/>
  <c r="D212" i="2"/>
  <c r="F211" i="2"/>
  <c r="E211" i="2"/>
  <c r="D211" i="2"/>
  <c r="F210" i="2"/>
  <c r="E210" i="2"/>
  <c r="D210" i="2"/>
  <c r="F209" i="2"/>
  <c r="E209" i="2"/>
  <c r="D209" i="2"/>
  <c r="F208" i="2"/>
  <c r="E208" i="2"/>
  <c r="D208" i="2"/>
  <c r="F207" i="2"/>
  <c r="E207" i="2"/>
  <c r="D207" i="2"/>
  <c r="F206" i="2"/>
  <c r="E206" i="2"/>
  <c r="D206" i="2"/>
  <c r="F205" i="2"/>
  <c r="E205" i="2"/>
  <c r="D205" i="2"/>
  <c r="F204" i="2"/>
  <c r="E204" i="2"/>
  <c r="D204" i="2"/>
  <c r="F203" i="2"/>
  <c r="E203" i="2"/>
  <c r="D203" i="2"/>
  <c r="F202" i="2"/>
  <c r="E202" i="2"/>
  <c r="D202" i="2"/>
  <c r="F201" i="2"/>
  <c r="E201" i="2"/>
  <c r="D201" i="2"/>
  <c r="F200" i="2"/>
  <c r="E200" i="2"/>
  <c r="D200" i="2"/>
  <c r="F199" i="2"/>
  <c r="E199" i="2"/>
  <c r="D199" i="2"/>
  <c r="F198" i="2"/>
  <c r="E198" i="2"/>
  <c r="D198" i="2"/>
  <c r="F197" i="2"/>
  <c r="E197" i="2"/>
  <c r="D197" i="2"/>
  <c r="F196" i="2"/>
  <c r="E196" i="2"/>
  <c r="D196" i="2"/>
  <c r="F195" i="2"/>
  <c r="E195" i="2"/>
  <c r="D195" i="2"/>
  <c r="F194" i="2"/>
  <c r="E194" i="2"/>
  <c r="D194" i="2"/>
  <c r="F193" i="2"/>
  <c r="E193" i="2"/>
  <c r="D193" i="2"/>
  <c r="F192" i="2"/>
  <c r="E192" i="2"/>
  <c r="D192" i="2"/>
  <c r="F191" i="2"/>
  <c r="E191" i="2"/>
  <c r="D191" i="2"/>
  <c r="F190" i="2"/>
  <c r="E190" i="2"/>
  <c r="D190" i="2"/>
  <c r="F189" i="2"/>
  <c r="E189" i="2"/>
  <c r="D189" i="2"/>
  <c r="F188" i="2"/>
  <c r="E188" i="2"/>
  <c r="D188" i="2"/>
  <c r="F187" i="2"/>
  <c r="E187" i="2"/>
  <c r="D187" i="2"/>
  <c r="F186" i="2"/>
  <c r="E186" i="2"/>
  <c r="D186" i="2"/>
  <c r="F185" i="2"/>
  <c r="E185" i="2"/>
  <c r="D185" i="2"/>
  <c r="F184" i="2"/>
  <c r="E184" i="2"/>
  <c r="D184" i="2"/>
  <c r="F183" i="2"/>
  <c r="E183" i="2"/>
  <c r="D183" i="2"/>
  <c r="F182" i="2"/>
  <c r="E182" i="2"/>
  <c r="D182" i="2"/>
  <c r="F181" i="2"/>
  <c r="E181" i="2"/>
  <c r="D181" i="2"/>
  <c r="F180" i="2"/>
  <c r="E180" i="2"/>
  <c r="D180" i="2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F96" i="2"/>
  <c r="E96" i="2"/>
  <c r="D96" i="2"/>
  <c r="F95" i="2"/>
  <c r="E95" i="2"/>
  <c r="D95" i="2"/>
  <c r="F94" i="2"/>
  <c r="E94" i="2"/>
  <c r="D94" i="2"/>
  <c r="F93" i="2"/>
  <c r="E93" i="2"/>
  <c r="D93" i="2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80" i="2"/>
  <c r="E80" i="2"/>
  <c r="D80" i="2"/>
  <c r="F79" i="2"/>
  <c r="E79" i="2"/>
  <c r="D79" i="2"/>
  <c r="F78" i="2"/>
  <c r="E78" i="2"/>
  <c r="D78" i="2"/>
  <c r="F77" i="2"/>
  <c r="E77" i="2"/>
  <c r="D77" i="2"/>
  <c r="F76" i="2"/>
  <c r="E76" i="2"/>
  <c r="D76" i="2"/>
  <c r="F75" i="2"/>
  <c r="E75" i="2"/>
  <c r="D75" i="2"/>
  <c r="F74" i="2"/>
  <c r="E74" i="2"/>
  <c r="D74" i="2"/>
  <c r="F73" i="2"/>
  <c r="E73" i="2"/>
  <c r="D73" i="2"/>
  <c r="F72" i="2"/>
  <c r="E72" i="2"/>
  <c r="D72" i="2"/>
  <c r="F71" i="2"/>
  <c r="E71" i="2"/>
  <c r="D71" i="2"/>
  <c r="F70" i="2"/>
  <c r="E70" i="2"/>
  <c r="D70" i="2"/>
  <c r="F69" i="2"/>
  <c r="E69" i="2"/>
  <c r="D69" i="2"/>
  <c r="F68" i="2"/>
  <c r="E68" i="2"/>
  <c r="D68" i="2"/>
  <c r="F67" i="2"/>
  <c r="E67" i="2"/>
  <c r="D67" i="2"/>
  <c r="F66" i="2"/>
  <c r="E66" i="2"/>
  <c r="D66" i="2"/>
  <c r="F65" i="2"/>
  <c r="E65" i="2"/>
  <c r="D65" i="2"/>
  <c r="F64" i="2"/>
  <c r="E64" i="2"/>
  <c r="D64" i="2"/>
  <c r="F63" i="2"/>
  <c r="E63" i="2"/>
  <c r="D63" i="2"/>
  <c r="F62" i="2"/>
  <c r="E62" i="2"/>
  <c r="D62" i="2"/>
  <c r="F61" i="2"/>
  <c r="E61" i="2"/>
  <c r="D61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C2" i="2"/>
  <c r="F280" i="1"/>
  <c r="E280" i="1"/>
  <c r="D280" i="1"/>
  <c r="F279" i="1"/>
  <c r="E279" i="1"/>
  <c r="D279" i="1"/>
  <c r="F278" i="1"/>
  <c r="E278" i="1"/>
  <c r="D278" i="1"/>
  <c r="F277" i="1"/>
  <c r="E277" i="1"/>
  <c r="D277" i="1"/>
  <c r="F276" i="1"/>
  <c r="E276" i="1"/>
  <c r="D276" i="1"/>
  <c r="F275" i="1"/>
  <c r="E275" i="1"/>
  <c r="D275" i="1"/>
  <c r="F274" i="1"/>
  <c r="E274" i="1"/>
  <c r="D274" i="1"/>
  <c r="F273" i="1"/>
  <c r="E273" i="1"/>
  <c r="D273" i="1"/>
  <c r="F272" i="1"/>
  <c r="E272" i="1"/>
  <c r="D272" i="1"/>
  <c r="F271" i="1"/>
  <c r="E271" i="1"/>
  <c r="D271" i="1"/>
  <c r="F270" i="1"/>
  <c r="E270" i="1"/>
  <c r="D270" i="1"/>
  <c r="F269" i="1"/>
  <c r="E269" i="1"/>
  <c r="D269" i="1"/>
  <c r="F268" i="1"/>
  <c r="E268" i="1"/>
  <c r="D268" i="1"/>
  <c r="F267" i="1"/>
  <c r="E267" i="1"/>
  <c r="D267" i="1"/>
  <c r="F266" i="1"/>
  <c r="E266" i="1"/>
  <c r="D266" i="1"/>
  <c r="F265" i="1"/>
  <c r="E265" i="1"/>
  <c r="D265" i="1"/>
  <c r="F264" i="1"/>
  <c r="E264" i="1"/>
  <c r="D264" i="1"/>
  <c r="F263" i="1"/>
  <c r="E263" i="1"/>
  <c r="D263" i="1"/>
  <c r="F262" i="1"/>
  <c r="E262" i="1"/>
  <c r="D262" i="1"/>
  <c r="F261" i="1"/>
  <c r="E261" i="1"/>
  <c r="D261" i="1"/>
  <c r="F260" i="1"/>
  <c r="E260" i="1"/>
  <c r="D260" i="1"/>
  <c r="F259" i="1"/>
  <c r="E259" i="1"/>
  <c r="D259" i="1"/>
  <c r="F258" i="1"/>
  <c r="E258" i="1"/>
  <c r="D258" i="1"/>
  <c r="F257" i="1"/>
  <c r="E257" i="1"/>
  <c r="D257" i="1"/>
  <c r="F256" i="1"/>
  <c r="E256" i="1"/>
  <c r="D256" i="1"/>
  <c r="F255" i="1"/>
  <c r="E255" i="1"/>
  <c r="D255" i="1"/>
  <c r="F254" i="1"/>
  <c r="E254" i="1"/>
  <c r="D254" i="1"/>
  <c r="F253" i="1"/>
  <c r="E253" i="1"/>
  <c r="D253" i="1"/>
  <c r="F252" i="1"/>
  <c r="E252" i="1"/>
  <c r="D252" i="1"/>
  <c r="F251" i="1"/>
  <c r="E251" i="1"/>
  <c r="D251" i="1"/>
  <c r="F250" i="1"/>
  <c r="E250" i="1"/>
  <c r="D250" i="1"/>
  <c r="F249" i="1"/>
  <c r="E249" i="1"/>
  <c r="D249" i="1"/>
  <c r="F248" i="1"/>
  <c r="E248" i="1"/>
  <c r="D248" i="1"/>
  <c r="F247" i="1"/>
  <c r="E247" i="1"/>
  <c r="D247" i="1"/>
  <c r="F246" i="1"/>
  <c r="E246" i="1"/>
  <c r="D246" i="1"/>
  <c r="F245" i="1"/>
  <c r="E245" i="1"/>
  <c r="D245" i="1"/>
  <c r="F244" i="1"/>
  <c r="E244" i="1"/>
  <c r="D244" i="1"/>
  <c r="F243" i="1"/>
  <c r="E243" i="1"/>
  <c r="D243" i="1"/>
  <c r="F242" i="1"/>
  <c r="E242" i="1"/>
  <c r="D242" i="1"/>
  <c r="F241" i="1"/>
  <c r="E241" i="1"/>
  <c r="D241" i="1"/>
  <c r="F240" i="1"/>
  <c r="E240" i="1"/>
  <c r="D240" i="1"/>
  <c r="F239" i="1"/>
  <c r="E239" i="1"/>
  <c r="D239" i="1"/>
  <c r="F238" i="1"/>
  <c r="E238" i="1"/>
  <c r="D238" i="1"/>
  <c r="F237" i="1"/>
  <c r="E237" i="1"/>
  <c r="D237" i="1"/>
  <c r="F236" i="1"/>
  <c r="E236" i="1"/>
  <c r="D236" i="1"/>
  <c r="F235" i="1"/>
  <c r="E235" i="1"/>
  <c r="D235" i="1"/>
  <c r="F234" i="1"/>
  <c r="E234" i="1"/>
  <c r="D234" i="1"/>
  <c r="F233" i="1"/>
  <c r="E233" i="1"/>
  <c r="D233" i="1"/>
  <c r="F232" i="1"/>
  <c r="E232" i="1"/>
  <c r="D232" i="1"/>
  <c r="F231" i="1"/>
  <c r="E231" i="1"/>
  <c r="D231" i="1"/>
  <c r="F230" i="1"/>
  <c r="E230" i="1"/>
  <c r="D230" i="1"/>
  <c r="F229" i="1"/>
  <c r="E229" i="1"/>
  <c r="D229" i="1"/>
  <c r="F228" i="1"/>
  <c r="E228" i="1"/>
  <c r="D228" i="1"/>
  <c r="F227" i="1"/>
  <c r="E227" i="1"/>
  <c r="D227" i="1"/>
  <c r="F226" i="1"/>
  <c r="E226" i="1"/>
  <c r="D226" i="1"/>
  <c r="F225" i="1"/>
  <c r="E225" i="1"/>
  <c r="D225" i="1"/>
  <c r="F224" i="1"/>
  <c r="E224" i="1"/>
  <c r="D224" i="1"/>
  <c r="F223" i="1"/>
  <c r="E223" i="1"/>
  <c r="D223" i="1"/>
  <c r="F222" i="1"/>
  <c r="E222" i="1"/>
  <c r="D222" i="1"/>
  <c r="F221" i="1"/>
  <c r="E221" i="1"/>
  <c r="D221" i="1"/>
  <c r="F220" i="1"/>
  <c r="E220" i="1"/>
  <c r="D220" i="1"/>
  <c r="F219" i="1"/>
  <c r="E219" i="1"/>
  <c r="D219" i="1"/>
  <c r="F218" i="1"/>
  <c r="E218" i="1"/>
  <c r="D218" i="1"/>
  <c r="F217" i="1"/>
  <c r="E217" i="1"/>
  <c r="D217" i="1"/>
  <c r="F216" i="1"/>
  <c r="E216" i="1"/>
  <c r="D216" i="1"/>
  <c r="F215" i="1"/>
  <c r="E215" i="1"/>
  <c r="D215" i="1"/>
  <c r="F214" i="1"/>
  <c r="E214" i="1"/>
  <c r="D214" i="1"/>
  <c r="F213" i="1"/>
  <c r="E213" i="1"/>
  <c r="D213" i="1"/>
  <c r="F212" i="1"/>
  <c r="E212" i="1"/>
  <c r="D212" i="1"/>
  <c r="F211" i="1"/>
  <c r="E211" i="1"/>
  <c r="D211" i="1"/>
  <c r="F210" i="1"/>
  <c r="E210" i="1"/>
  <c r="D210" i="1"/>
  <c r="F209" i="1"/>
  <c r="E209" i="1"/>
  <c r="D209" i="1"/>
  <c r="F208" i="1"/>
  <c r="E208" i="1"/>
  <c r="D208" i="1"/>
  <c r="F207" i="1"/>
  <c r="E207" i="1"/>
  <c r="D207" i="1"/>
  <c r="F206" i="1"/>
  <c r="E206" i="1"/>
  <c r="D206" i="1"/>
  <c r="F205" i="1"/>
  <c r="E205" i="1"/>
  <c r="D205" i="1"/>
  <c r="F204" i="1"/>
  <c r="E204" i="1"/>
  <c r="D204" i="1"/>
  <c r="F203" i="1"/>
  <c r="E203" i="1"/>
  <c r="D203" i="1"/>
  <c r="F202" i="1"/>
  <c r="E202" i="1"/>
  <c r="D202" i="1"/>
  <c r="F201" i="1"/>
  <c r="E201" i="1"/>
  <c r="D201" i="1"/>
  <c r="F200" i="1"/>
  <c r="E200" i="1"/>
  <c r="D200" i="1"/>
  <c r="F199" i="1"/>
  <c r="E199" i="1"/>
  <c r="D199" i="1"/>
  <c r="F198" i="1"/>
  <c r="E198" i="1"/>
  <c r="D198" i="1"/>
  <c r="F197" i="1"/>
  <c r="E197" i="1"/>
  <c r="D197" i="1"/>
  <c r="F196" i="1"/>
  <c r="E196" i="1"/>
  <c r="D196" i="1"/>
  <c r="F195" i="1"/>
  <c r="E195" i="1"/>
  <c r="D195" i="1"/>
  <c r="F194" i="1"/>
  <c r="E194" i="1"/>
  <c r="D194" i="1"/>
  <c r="F193" i="1"/>
  <c r="E193" i="1"/>
  <c r="D193" i="1"/>
  <c r="F192" i="1"/>
  <c r="E192" i="1"/>
  <c r="D192" i="1"/>
  <c r="F191" i="1"/>
  <c r="E191" i="1"/>
  <c r="D191" i="1"/>
  <c r="F190" i="1"/>
  <c r="E190" i="1"/>
  <c r="D190" i="1"/>
  <c r="F189" i="1"/>
  <c r="E189" i="1"/>
  <c r="D189" i="1"/>
  <c r="F188" i="1"/>
  <c r="E188" i="1"/>
  <c r="D188" i="1"/>
  <c r="F187" i="1"/>
  <c r="E187" i="1"/>
  <c r="D187" i="1"/>
  <c r="F186" i="1"/>
  <c r="E186" i="1"/>
  <c r="D186" i="1"/>
  <c r="F185" i="1"/>
  <c r="E185" i="1"/>
  <c r="D185" i="1"/>
  <c r="F184" i="1"/>
  <c r="E184" i="1"/>
  <c r="D184" i="1"/>
  <c r="F183" i="1"/>
  <c r="E183" i="1"/>
  <c r="D183" i="1"/>
  <c r="F182" i="1"/>
  <c r="E182" i="1"/>
  <c r="D182" i="1"/>
  <c r="F181" i="1"/>
  <c r="E181" i="1"/>
  <c r="D181" i="1"/>
  <c r="F180" i="1"/>
  <c r="E180" i="1"/>
  <c r="D180" i="1"/>
  <c r="F179" i="1"/>
  <c r="E179" i="1"/>
  <c r="D179" i="1"/>
  <c r="F178" i="1"/>
  <c r="E178" i="1"/>
  <c r="D178" i="1"/>
  <c r="F177" i="1"/>
  <c r="E177" i="1"/>
  <c r="D177" i="1"/>
  <c r="F176" i="1"/>
  <c r="E176" i="1"/>
  <c r="D176" i="1"/>
  <c r="F175" i="1"/>
  <c r="E175" i="1"/>
  <c r="D175" i="1"/>
  <c r="F174" i="1"/>
  <c r="E174" i="1"/>
  <c r="D174" i="1"/>
  <c r="F173" i="1"/>
  <c r="E173" i="1"/>
  <c r="D173" i="1"/>
  <c r="F172" i="1"/>
  <c r="E172" i="1"/>
  <c r="D172" i="1"/>
  <c r="F171" i="1"/>
  <c r="E171" i="1"/>
  <c r="D171" i="1"/>
  <c r="F170" i="1"/>
  <c r="E170" i="1"/>
  <c r="D170" i="1"/>
  <c r="F169" i="1"/>
  <c r="E169" i="1"/>
  <c r="D169" i="1"/>
  <c r="F168" i="1"/>
  <c r="E168" i="1"/>
  <c r="D168" i="1"/>
  <c r="F167" i="1"/>
  <c r="E167" i="1"/>
  <c r="D167" i="1"/>
  <c r="F166" i="1"/>
  <c r="E166" i="1"/>
  <c r="D166" i="1"/>
  <c r="F165" i="1"/>
  <c r="E165" i="1"/>
  <c r="D165" i="1"/>
  <c r="F164" i="1"/>
  <c r="E164" i="1"/>
  <c r="D164" i="1"/>
  <c r="F163" i="1"/>
  <c r="E163" i="1"/>
  <c r="D163" i="1"/>
  <c r="F162" i="1"/>
  <c r="E162" i="1"/>
  <c r="D162" i="1"/>
  <c r="F161" i="1"/>
  <c r="E161" i="1"/>
  <c r="D161" i="1"/>
  <c r="F160" i="1"/>
  <c r="E160" i="1"/>
  <c r="D160" i="1"/>
  <c r="F159" i="1"/>
  <c r="E159" i="1"/>
  <c r="D159" i="1"/>
  <c r="F158" i="1"/>
  <c r="E158" i="1"/>
  <c r="D158" i="1"/>
  <c r="F157" i="1"/>
  <c r="E157" i="1"/>
  <c r="D157" i="1"/>
  <c r="F156" i="1"/>
  <c r="E156" i="1"/>
  <c r="D156" i="1"/>
  <c r="F155" i="1"/>
  <c r="E155" i="1"/>
  <c r="D155" i="1"/>
  <c r="F154" i="1"/>
  <c r="E154" i="1"/>
  <c r="D154" i="1"/>
  <c r="F153" i="1"/>
  <c r="E153" i="1"/>
  <c r="D153" i="1"/>
  <c r="F152" i="1"/>
  <c r="E152" i="1"/>
  <c r="D152" i="1"/>
  <c r="F151" i="1"/>
  <c r="E151" i="1"/>
  <c r="D151" i="1"/>
  <c r="F150" i="1"/>
  <c r="E150" i="1"/>
  <c r="D150" i="1"/>
  <c r="F149" i="1"/>
  <c r="E149" i="1"/>
  <c r="D149" i="1"/>
  <c r="F148" i="1"/>
  <c r="E148" i="1"/>
  <c r="D148" i="1"/>
  <c r="F147" i="1"/>
  <c r="E147" i="1"/>
  <c r="D147" i="1"/>
  <c r="F146" i="1"/>
  <c r="E146" i="1"/>
  <c r="D146" i="1"/>
  <c r="F145" i="1"/>
  <c r="E145" i="1"/>
  <c r="D145" i="1"/>
  <c r="F144" i="1"/>
  <c r="E144" i="1"/>
  <c r="D144" i="1"/>
  <c r="F143" i="1"/>
  <c r="E143" i="1"/>
  <c r="D143" i="1"/>
  <c r="F142" i="1"/>
  <c r="E142" i="1"/>
  <c r="D142" i="1"/>
  <c r="F141" i="1"/>
  <c r="E141" i="1"/>
  <c r="D141" i="1"/>
  <c r="F140" i="1"/>
  <c r="E140" i="1"/>
  <c r="D140" i="1"/>
  <c r="F139" i="1"/>
  <c r="E139" i="1"/>
  <c r="D139" i="1"/>
  <c r="F138" i="1"/>
  <c r="E138" i="1"/>
  <c r="D138" i="1"/>
  <c r="F137" i="1"/>
  <c r="E137" i="1"/>
  <c r="D137" i="1"/>
  <c r="F136" i="1"/>
  <c r="E136" i="1"/>
  <c r="D136" i="1"/>
  <c r="F135" i="1"/>
  <c r="E135" i="1"/>
  <c r="D135" i="1"/>
  <c r="F134" i="1"/>
  <c r="E134" i="1"/>
  <c r="D134" i="1"/>
  <c r="F133" i="1"/>
  <c r="E133" i="1"/>
  <c r="D133" i="1"/>
  <c r="F132" i="1"/>
  <c r="E132" i="1"/>
  <c r="D132" i="1"/>
  <c r="F131" i="1"/>
  <c r="E131" i="1"/>
  <c r="D131" i="1"/>
  <c r="F130" i="1"/>
  <c r="E130" i="1"/>
  <c r="D130" i="1"/>
  <c r="F129" i="1"/>
  <c r="E129" i="1"/>
  <c r="D129" i="1"/>
  <c r="F128" i="1"/>
  <c r="E128" i="1"/>
  <c r="D128" i="1"/>
  <c r="F127" i="1"/>
  <c r="E127" i="1"/>
  <c r="D127" i="1"/>
  <c r="F126" i="1"/>
  <c r="E126" i="1"/>
  <c r="D126" i="1"/>
  <c r="F125" i="1"/>
  <c r="E125" i="1"/>
  <c r="D125" i="1"/>
  <c r="F124" i="1"/>
  <c r="E124" i="1"/>
  <c r="D124" i="1"/>
  <c r="F123" i="1"/>
  <c r="E123" i="1"/>
  <c r="D123" i="1"/>
  <c r="F122" i="1"/>
  <c r="E122" i="1"/>
  <c r="D122" i="1"/>
  <c r="F121" i="1"/>
  <c r="E121" i="1"/>
  <c r="D121" i="1"/>
  <c r="F120" i="1"/>
  <c r="E120" i="1"/>
  <c r="D120" i="1"/>
  <c r="F119" i="1"/>
  <c r="E119" i="1"/>
  <c r="D119" i="1"/>
  <c r="F118" i="1"/>
  <c r="E118" i="1"/>
  <c r="D118" i="1"/>
  <c r="F117" i="1"/>
  <c r="E117" i="1"/>
  <c r="D117" i="1"/>
  <c r="F116" i="1"/>
  <c r="E116" i="1"/>
  <c r="D116" i="1"/>
  <c r="F115" i="1"/>
  <c r="E115" i="1"/>
  <c r="D115" i="1"/>
  <c r="F114" i="1"/>
  <c r="E114" i="1"/>
  <c r="D114" i="1"/>
  <c r="F113" i="1"/>
  <c r="E113" i="1"/>
  <c r="D113" i="1"/>
  <c r="F112" i="1"/>
  <c r="E112" i="1"/>
  <c r="D112" i="1"/>
  <c r="F111" i="1"/>
  <c r="E111" i="1"/>
  <c r="D111" i="1"/>
  <c r="F110" i="1"/>
  <c r="E110" i="1"/>
  <c r="D110" i="1"/>
  <c r="F109" i="1"/>
  <c r="E109" i="1"/>
  <c r="D109" i="1"/>
  <c r="F108" i="1"/>
  <c r="E108" i="1"/>
  <c r="D108" i="1"/>
  <c r="F107" i="1"/>
  <c r="E107" i="1"/>
  <c r="D107" i="1"/>
  <c r="F106" i="1"/>
  <c r="E106" i="1"/>
  <c r="D106" i="1"/>
  <c r="F105" i="1"/>
  <c r="E105" i="1"/>
  <c r="D105" i="1"/>
  <c r="F104" i="1"/>
  <c r="E104" i="1"/>
  <c r="D104" i="1"/>
  <c r="F103" i="1"/>
  <c r="E103" i="1"/>
  <c r="D103" i="1"/>
  <c r="F102" i="1"/>
  <c r="E102" i="1"/>
  <c r="D102" i="1"/>
  <c r="F101" i="1"/>
  <c r="E101" i="1"/>
  <c r="D101" i="1"/>
  <c r="F100" i="1"/>
  <c r="E100" i="1"/>
  <c r="D100" i="1"/>
  <c r="F99" i="1"/>
  <c r="E99" i="1"/>
  <c r="D99" i="1"/>
  <c r="F98" i="1"/>
  <c r="E98" i="1"/>
  <c r="D98" i="1"/>
  <c r="F97" i="1"/>
  <c r="E97" i="1"/>
  <c r="D97" i="1"/>
  <c r="F96" i="1"/>
  <c r="E96" i="1"/>
  <c r="D96" i="1"/>
  <c r="F95" i="1"/>
  <c r="E95" i="1"/>
  <c r="D95" i="1"/>
  <c r="F94" i="1"/>
  <c r="E94" i="1"/>
  <c r="D94" i="1"/>
  <c r="F93" i="1"/>
  <c r="E93" i="1"/>
  <c r="D93" i="1"/>
  <c r="F92" i="1"/>
  <c r="E92" i="1"/>
  <c r="D92" i="1"/>
  <c r="F91" i="1"/>
  <c r="E91" i="1"/>
  <c r="D91" i="1"/>
  <c r="F90" i="1"/>
  <c r="E90" i="1"/>
  <c r="D90" i="1"/>
  <c r="F89" i="1"/>
  <c r="E89" i="1"/>
  <c r="D89" i="1"/>
  <c r="F88" i="1"/>
  <c r="E88" i="1"/>
  <c r="D88" i="1"/>
  <c r="F87" i="1"/>
  <c r="E87" i="1"/>
  <c r="D87" i="1"/>
  <c r="F86" i="1"/>
  <c r="E86" i="1"/>
  <c r="D86" i="1"/>
  <c r="F85" i="1"/>
  <c r="E85" i="1"/>
  <c r="D85" i="1"/>
  <c r="F84" i="1"/>
  <c r="E84" i="1"/>
  <c r="D84" i="1"/>
  <c r="F83" i="1"/>
  <c r="E83" i="1"/>
  <c r="D83" i="1"/>
  <c r="F82" i="1"/>
  <c r="E82" i="1"/>
  <c r="D82" i="1"/>
  <c r="F81" i="1"/>
  <c r="E81" i="1"/>
  <c r="D81" i="1"/>
  <c r="F80" i="1"/>
  <c r="E80" i="1"/>
  <c r="D80" i="1"/>
  <c r="F79" i="1"/>
  <c r="E79" i="1"/>
  <c r="D79" i="1"/>
  <c r="F78" i="1"/>
  <c r="E78" i="1"/>
  <c r="D78" i="1"/>
  <c r="F77" i="1"/>
  <c r="E77" i="1"/>
  <c r="D77" i="1"/>
  <c r="F76" i="1"/>
  <c r="E76" i="1"/>
  <c r="D76" i="1"/>
  <c r="F75" i="1"/>
  <c r="E75" i="1"/>
  <c r="D75" i="1"/>
  <c r="F74" i="1"/>
  <c r="E74" i="1"/>
  <c r="D74" i="1"/>
  <c r="F73" i="1"/>
  <c r="E73" i="1"/>
  <c r="D73" i="1"/>
  <c r="F72" i="1"/>
  <c r="E72" i="1"/>
  <c r="D72" i="1"/>
  <c r="F71" i="1"/>
  <c r="E71" i="1"/>
  <c r="D71" i="1"/>
  <c r="F70" i="1"/>
  <c r="E70" i="1"/>
  <c r="D70" i="1"/>
  <c r="F69" i="1"/>
  <c r="E69" i="1"/>
  <c r="D69" i="1"/>
  <c r="F68" i="1"/>
  <c r="E68" i="1"/>
  <c r="D68" i="1"/>
  <c r="F67" i="1"/>
  <c r="E67" i="1"/>
  <c r="D67" i="1"/>
  <c r="F66" i="1"/>
  <c r="E66" i="1"/>
  <c r="D66" i="1"/>
  <c r="F65" i="1"/>
  <c r="E65" i="1"/>
  <c r="D65" i="1"/>
  <c r="F64" i="1"/>
  <c r="E64" i="1"/>
  <c r="D64" i="1"/>
  <c r="F63" i="1"/>
  <c r="E63" i="1"/>
  <c r="D63" i="1"/>
  <c r="F62" i="1"/>
  <c r="E62" i="1"/>
  <c r="D62" i="1"/>
  <c r="F61" i="1"/>
  <c r="E61" i="1"/>
  <c r="D61" i="1"/>
  <c r="F60" i="1"/>
  <c r="E60" i="1"/>
  <c r="D60" i="1"/>
  <c r="F59" i="1"/>
  <c r="E59" i="1"/>
  <c r="D59" i="1"/>
  <c r="F58" i="1"/>
  <c r="E58" i="1"/>
  <c r="D58" i="1"/>
  <c r="F57" i="1"/>
  <c r="E57" i="1"/>
  <c r="D57" i="1"/>
  <c r="F56" i="1"/>
  <c r="E56" i="1"/>
  <c r="D56" i="1"/>
  <c r="F55" i="1"/>
  <c r="E55" i="1"/>
  <c r="D55" i="1"/>
  <c r="F54" i="1"/>
  <c r="E54" i="1"/>
  <c r="D54" i="1"/>
  <c r="F53" i="1"/>
  <c r="E53" i="1"/>
  <c r="D53" i="1"/>
  <c r="F52" i="1"/>
  <c r="E52" i="1"/>
  <c r="D52" i="1"/>
  <c r="F51" i="1"/>
  <c r="E51" i="1"/>
  <c r="D51" i="1"/>
  <c r="F50" i="1"/>
  <c r="E50" i="1"/>
  <c r="D50" i="1"/>
  <c r="F49" i="1"/>
  <c r="E49" i="1"/>
  <c r="D49" i="1"/>
  <c r="F48" i="1"/>
  <c r="E48" i="1"/>
  <c r="D48" i="1"/>
  <c r="F47" i="1"/>
  <c r="E47" i="1"/>
  <c r="D47" i="1"/>
  <c r="F46" i="1"/>
  <c r="E46" i="1"/>
  <c r="D46" i="1"/>
  <c r="F45" i="1"/>
  <c r="E45" i="1"/>
  <c r="D45" i="1"/>
  <c r="F44" i="1"/>
  <c r="E44" i="1"/>
  <c r="D44" i="1"/>
  <c r="F43" i="1"/>
  <c r="E43" i="1"/>
  <c r="D43" i="1"/>
  <c r="F42" i="1"/>
  <c r="E42" i="1"/>
  <c r="D42" i="1"/>
  <c r="F41" i="1"/>
  <c r="E41" i="1"/>
  <c r="D41" i="1"/>
  <c r="F40" i="1"/>
  <c r="E40" i="1"/>
  <c r="D40" i="1"/>
  <c r="F39" i="1"/>
  <c r="E39" i="1"/>
  <c r="D39" i="1"/>
  <c r="F38" i="1"/>
  <c r="E38" i="1"/>
  <c r="D38" i="1"/>
  <c r="F37" i="1"/>
  <c r="E37" i="1"/>
  <c r="D37" i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D32" i="1"/>
  <c r="F31" i="1"/>
  <c r="E31" i="1"/>
  <c r="D31" i="1"/>
  <c r="F30" i="1"/>
  <c r="E30" i="1"/>
  <c r="D30" i="1"/>
  <c r="F29" i="1"/>
  <c r="E29" i="1"/>
  <c r="D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F13" i="1"/>
  <c r="E13" i="1"/>
  <c r="D13" i="1"/>
  <c r="F12" i="1"/>
  <c r="E12" i="1"/>
  <c r="D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7" i="1"/>
  <c r="D7" i="1"/>
  <c r="F6" i="1"/>
  <c r="E6" i="1"/>
  <c r="D6" i="1"/>
  <c r="F5" i="1"/>
  <c r="E5" i="1"/>
  <c r="D5" i="1"/>
  <c r="F4" i="1"/>
  <c r="E4" i="1"/>
  <c r="D4" i="1"/>
  <c r="F3" i="1"/>
  <c r="E3" i="1"/>
  <c r="D3" i="1"/>
  <c r="C2" i="1"/>
  <c r="A1" i="1"/>
  <c r="A1" i="2"/>
  <c r="A1" i="3"/>
  <c r="A1" i="4"/>
  <c r="A1" i="5"/>
  <c r="A1" i="6"/>
  <c r="A1" i="7"/>
  <c r="A1" i="8"/>
</calcChain>
</file>

<file path=xl/sharedStrings.xml><?xml version="1.0" encoding="utf-8"?>
<sst xmlns="http://schemas.openxmlformats.org/spreadsheetml/2006/main" count="48" uniqueCount="14">
  <si>
    <t>Return</t>
  </si>
  <si>
    <t>Entity</t>
  </si>
  <si>
    <t>AsOfDate</t>
  </si>
  <si>
    <t>DATES</t>
  </si>
  <si>
    <t>NBI Index</t>
  </si>
  <si>
    <t>HFRXEMN Index</t>
  </si>
  <si>
    <t>XBI US Equity</t>
  </si>
  <si>
    <t>MSA1BIO Index</t>
  </si>
  <si>
    <t>MSA1BIOH Index</t>
  </si>
  <si>
    <t>IWM US Index</t>
  </si>
  <si>
    <t>SPXT Index</t>
  </si>
  <si>
    <t>RGUSHSBT Index</t>
  </si>
  <si>
    <t>dropna(day_to_day_tot_return_gross_dvds(dates=range(2023-01-01,2025-12-31)))</t>
  </si>
  <si>
    <t>dropna(day_to_day_tot_return_gross_dvds(dates=range(2024-01-01,2025-12-31)))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</si>
</sst>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0"/>
  </numFmts>
  <fonts count="3" x14ac:knownFonts="1">
    <font>
      <sz val="11"/>
      <color indexed="8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 indent="1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right" indent="1"/>
    </xf>
    <xf numFmtId="14" fontId="0" fillId="0" borderId="0" xfId="0" applyNumberFormat="1" applyAlignment="1">
      <alignment horizontal="right" indent="1"/>
    </xf>
    <xf numFmtId="164" fontId="0" fillId="0" borderId="1" xfId="0" applyNumberFormat="1" applyBorder="1" applyAlignment="1">
      <alignment horizontal="right" indent="1"/>
    </xf>
    <xf numFmtId="0" fontId="0" fillId="0" borderId="1" xfId="0" applyBorder="1" applyAlignment="1">
      <alignment horizontal="left" indent="1"/>
    </xf>
    <xf numFmtId="164" fontId="0" fillId="0" borderId="2" xfId="0" applyNumberFormat="1" applyBorder="1" applyAlignment="1">
      <alignment horizontal="right" indent="1"/>
    </xf>
    <xf numFmtId="14" fontId="0" fillId="0" borderId="2" xfId="0" applyNumberFormat="1" applyBorder="1" applyAlignment="1">
      <alignment horizontal="right" indent="1"/>
    </xf>
    <xf numFmtId="164" fontId="0" fillId="2" borderId="2" xfId="0" applyNumberFormat="1" applyFill="1" applyBorder="1" applyAlignment="1">
      <alignment horizontal="right" indent="1"/>
    </xf>
    <xf numFmtId="14" fontId="0" fillId="2" borderId="2" xfId="0" applyNumberFormat="1" applyFill="1" applyBorder="1" applyAlignment="1">
      <alignment horizontal="right" indent="1"/>
    </xf>
    <xf numFmtId="164" fontId="0" fillId="2" borderId="3" xfId="0" applyNumberFormat="1" applyFill="1" applyBorder="1" applyAlignment="1">
      <alignment horizontal="right" indent="1"/>
    </xf>
    <xf numFmtId="14" fontId="0" fillId="2" borderId="3" xfId="0" applyNumberFormat="1" applyFill="1" applyBorder="1" applyAlignment="1">
      <alignment horizontal="right" indent="1"/>
    </xf>
    <xf numFmtId="0" fontId="1" fillId="3" borderId="1" xfId="0" applyFont="1" applyFill="1" applyBorder="1" applyAlignment="1">
      <alignment horizontal="right" indent="1"/>
    </xf>
    <xf numFmtId="0" fontId="1" fillId="3" borderId="1" xfId="0" applyFont="1" applyFill="1" applyBorder="1" applyAlignment="1">
      <alignment horizontal="left" indent="1"/>
    </xf>
    <xf numFmtId="0" fontId="1" fillId="4" borderId="1" xfId="0" applyFont="1" applyFill="1" applyBorder="1" applyAlignment="1">
      <alignment horizontal="left" indent="1"/>
    </xf>
    <xf numFmtId="164" fontId="2" fillId="4" borderId="1" xfId="0" applyNumberFormat="1" applyFont="1" applyFill="1" applyBorder="1" applyAlignment="1">
      <alignment horizontal="right" indent="1"/>
    </xf>
    <xf numFmtId="14" fontId="2" fillId="4" borderId="1" xfId="0" applyNumberFormat="1" applyFont="1" applyFill="1" applyBorder="1" applyAlignment="1">
      <alignment horizontal="right" indent="1"/>
    </xf>
    <xf numFmtId="164" fontId="1" fillId="2" borderId="4" xfId="0" applyNumberFormat="1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BQL|12804558416960293826</stp>
        <tr r="A1" s="4"/>
      </tp>
      <tp t="s">
        <v>#N/A N/A</v>
        <stp/>
        <stp>BQL|13164329505919278489</stp>
        <tr r="A1" s="8"/>
      </tp>
      <tp t="s">
        <v>#N/A N/A</v>
        <stp/>
        <stp>BQL|15669935231581051265</stp>
        <tr r="A1" s="5"/>
      </tp>
      <tp t="s">
        <v>#N/A N/A</v>
        <stp/>
        <stp>BQL|13757146021212329865</stp>
        <tr r="A1" s="2"/>
      </tp>
      <tp t="s">
        <v>#N/A N/A</v>
        <stp/>
        <stp>BQL|11701334302602133546</stp>
        <tr r="A1" s="1"/>
      </tp>
      <tp t="s">
        <v>#N/A N/A</v>
        <stp/>
        <stp>BQL|10765519331286310455</stp>
        <tr r="A1" s="7"/>
      </tp>
    </main>
    <main first="bofaddin.rtdserver">
      <tp t="s">
        <v>#N/A N/A</v>
        <stp/>
        <stp>BQL|2645912134537612463</stp>
        <tr r="A1" s="3"/>
      </tp>
    </main>
    <main first="bofaddin.rtdserver">
      <tp t="s">
        <v>#N/A N/A</v>
        <stp/>
        <stp>BQL|385846859834926913</stp>
        <tr r="A1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B28C-84A8-492E-9F9F-4C581A7120FB}">
  <sheetPr codeName="Sheet2"/>
  <dimension ref="A1:F280"/>
  <sheetViews>
    <sheetView showGridLines="0" tabSelected="1" zoomScale="91" zoomScaleNormal="91" workbookViewId="0">
      <pane xSplit="2" ySplit="2" topLeftCell="C231" activePane="bottomRight" state="frozen"/>
      <selection activeCell="B2" sqref="B2"/>
      <selection pane="topRight" activeCell="B2" sqref="B2"/>
      <selection pane="bottomLeft" activeCell="B2" sqref="B2"/>
      <selection pane="bottomRight" activeCell="B1" sqref="B1"/>
    </sheetView>
  </sheetViews>
  <sheetFormatPr defaultRowHeight="14.5" x14ac:dyDescent="0.35"/>
  <cols>
    <col min="1" max="1" width="17.7265625" style="4" customWidth="1"/>
    <col min="2" max="2" width="17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_xll.BQL(EntityLocal, "dropna(day_to_day_tot_return_gross_dvds(dates=range(2024-01-01, 2025-12-31)))","cols=2;rows=278")</f>
        <v/>
      </c>
      <c r="B1" s="18" t="s">
        <v>10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-5.6294497488823319E-3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SPXT Index</v>
      </c>
      <c r="F3" s="5">
        <f t="shared" ref="F3:F66" si="2">IF(B3="","", B3)</f>
        <v>-5.6294497488823319E-3</v>
      </c>
    </row>
    <row r="4" spans="1:6" x14ac:dyDescent="0.35">
      <c r="A4" s="8">
        <v>45294</v>
      </c>
      <c r="B4" s="7">
        <v>-7.9749242674316007E-3</v>
      </c>
      <c r="D4" s="6" t="str">
        <f t="shared" si="0"/>
        <v>01/03/2024</v>
      </c>
      <c r="E4" s="6" t="str">
        <f t="shared" si="1"/>
        <v>SPXT Index</v>
      </c>
      <c r="F4" s="5">
        <f t="shared" si="2"/>
        <v>-7.9749242674316007E-3</v>
      </c>
    </row>
    <row r="5" spans="1:6" x14ac:dyDescent="0.35">
      <c r="A5" s="10">
        <v>45295</v>
      </c>
      <c r="B5" s="9">
        <v>-3.2970840584660801E-3</v>
      </c>
      <c r="D5" s="6" t="str">
        <f t="shared" si="0"/>
        <v>01/04/2024</v>
      </c>
      <c r="E5" s="6" t="str">
        <f t="shared" si="1"/>
        <v>SPXT Index</v>
      </c>
      <c r="F5" s="5">
        <f t="shared" si="2"/>
        <v>-3.2970840584660801E-3</v>
      </c>
    </row>
    <row r="6" spans="1:6" x14ac:dyDescent="0.35">
      <c r="A6" s="8">
        <v>45296</v>
      </c>
      <c r="B6" s="7">
        <v>1.8268302771266343E-3</v>
      </c>
      <c r="D6" s="6" t="str">
        <f t="shared" si="0"/>
        <v>01/05/2024</v>
      </c>
      <c r="E6" s="6" t="str">
        <f t="shared" si="1"/>
        <v>SPXT Index</v>
      </c>
      <c r="F6" s="5">
        <f t="shared" si="2"/>
        <v>1.8268302771266343E-3</v>
      </c>
    </row>
    <row r="7" spans="1:6" x14ac:dyDescent="0.35">
      <c r="A7" s="10">
        <v>45299</v>
      </c>
      <c r="B7" s="9">
        <v>1.4132854931065881E-2</v>
      </c>
      <c r="D7" s="6" t="str">
        <f t="shared" si="0"/>
        <v>01/08/2024</v>
      </c>
      <c r="E7" s="6" t="str">
        <f t="shared" si="1"/>
        <v>SPXT Index</v>
      </c>
      <c r="F7" s="5">
        <f t="shared" si="2"/>
        <v>1.4132854931065881E-2</v>
      </c>
    </row>
    <row r="8" spans="1:6" x14ac:dyDescent="0.35">
      <c r="A8" s="8">
        <v>45300</v>
      </c>
      <c r="B8" s="7">
        <v>-1.3366910547355961E-3</v>
      </c>
      <c r="D8" s="6" t="str">
        <f t="shared" si="0"/>
        <v>01/09/2024</v>
      </c>
      <c r="E8" s="6" t="str">
        <f t="shared" si="1"/>
        <v>SPXT Index</v>
      </c>
      <c r="F8" s="5">
        <f t="shared" si="2"/>
        <v>-1.3366910547355961E-3</v>
      </c>
    </row>
    <row r="9" spans="1:6" x14ac:dyDescent="0.35">
      <c r="A9" s="10">
        <v>45301</v>
      </c>
      <c r="B9" s="9">
        <v>5.6819891426836263E-3</v>
      </c>
      <c r="D9" s="6" t="str">
        <f t="shared" si="0"/>
        <v>01/10/2024</v>
      </c>
      <c r="E9" s="6" t="str">
        <f t="shared" si="1"/>
        <v>SPXT Index</v>
      </c>
      <c r="F9" s="5">
        <f t="shared" si="2"/>
        <v>5.6819891426836263E-3</v>
      </c>
    </row>
    <row r="10" spans="1:6" x14ac:dyDescent="0.35">
      <c r="A10" s="8">
        <v>45302</v>
      </c>
      <c r="B10" s="7">
        <v>-6.3505728544859137E-4</v>
      </c>
      <c r="D10" s="6" t="str">
        <f t="shared" si="0"/>
        <v>01/11/2024</v>
      </c>
      <c r="E10" s="6" t="str">
        <f t="shared" si="1"/>
        <v>SPXT Index</v>
      </c>
      <c r="F10" s="5">
        <f t="shared" si="2"/>
        <v>-6.3505728544859137E-4</v>
      </c>
    </row>
    <row r="11" spans="1:6" x14ac:dyDescent="0.35">
      <c r="A11" s="10">
        <v>45303</v>
      </c>
      <c r="B11" s="9">
        <v>8.3633599847024432E-4</v>
      </c>
      <c r="D11" s="6" t="str">
        <f t="shared" si="0"/>
        <v>01/12/2024</v>
      </c>
      <c r="E11" s="6" t="str">
        <f t="shared" si="1"/>
        <v>SPXT Index</v>
      </c>
      <c r="F11" s="5">
        <f t="shared" si="2"/>
        <v>8.3633599847024432E-4</v>
      </c>
    </row>
    <row r="12" spans="1:6" x14ac:dyDescent="0.35">
      <c r="A12" s="8">
        <v>45307</v>
      </c>
      <c r="B12" s="7">
        <v>-3.7169448103171695E-3</v>
      </c>
      <c r="D12" s="6" t="str">
        <f t="shared" si="0"/>
        <v>01/16/2024</v>
      </c>
      <c r="E12" s="6" t="str">
        <f t="shared" si="1"/>
        <v>SPXT Index</v>
      </c>
      <c r="F12" s="5">
        <f t="shared" si="2"/>
        <v>-3.7169448103171695E-3</v>
      </c>
    </row>
    <row r="13" spans="1:6" x14ac:dyDescent="0.35">
      <c r="A13" s="10">
        <v>45308</v>
      </c>
      <c r="B13" s="9">
        <v>-5.5962180491107997E-3</v>
      </c>
      <c r="D13" s="6" t="str">
        <f t="shared" si="0"/>
        <v>01/17/2024</v>
      </c>
      <c r="E13" s="6" t="str">
        <f t="shared" si="1"/>
        <v>SPXT Index</v>
      </c>
      <c r="F13" s="5">
        <f t="shared" si="2"/>
        <v>-5.5962180491107997E-3</v>
      </c>
    </row>
    <row r="14" spans="1:6" x14ac:dyDescent="0.35">
      <c r="A14" s="8">
        <v>45309</v>
      </c>
      <c r="B14" s="7">
        <v>8.8866811791119757E-3</v>
      </c>
      <c r="D14" s="6" t="str">
        <f t="shared" si="0"/>
        <v>01/18/2024</v>
      </c>
      <c r="E14" s="6" t="str">
        <f t="shared" si="1"/>
        <v>SPXT Index</v>
      </c>
      <c r="F14" s="5">
        <f t="shared" si="2"/>
        <v>8.8866811791119757E-3</v>
      </c>
    </row>
    <row r="15" spans="1:6" x14ac:dyDescent="0.35">
      <c r="A15" s="10">
        <v>45310</v>
      </c>
      <c r="B15" s="9">
        <v>1.2371733172174135E-2</v>
      </c>
      <c r="D15" s="6" t="str">
        <f t="shared" si="0"/>
        <v>01/19/2024</v>
      </c>
      <c r="E15" s="6" t="str">
        <f t="shared" si="1"/>
        <v>SPXT Index</v>
      </c>
      <c r="F15" s="5">
        <f t="shared" si="2"/>
        <v>1.2371733172174135E-2</v>
      </c>
    </row>
    <row r="16" spans="1:6" x14ac:dyDescent="0.35">
      <c r="A16" s="8">
        <v>45313</v>
      </c>
      <c r="B16" s="7">
        <v>2.1933086919869848E-3</v>
      </c>
      <c r="D16" s="6" t="str">
        <f t="shared" si="0"/>
        <v>01/22/2024</v>
      </c>
      <c r="E16" s="6" t="str">
        <f t="shared" si="1"/>
        <v>SPXT Index</v>
      </c>
      <c r="F16" s="5">
        <f t="shared" si="2"/>
        <v>2.1933086919869848E-3</v>
      </c>
    </row>
    <row r="17" spans="1:6" x14ac:dyDescent="0.35">
      <c r="A17" s="10">
        <v>45314</v>
      </c>
      <c r="B17" s="9">
        <v>2.9440198526276078E-3</v>
      </c>
      <c r="D17" s="6" t="str">
        <f t="shared" si="0"/>
        <v>01/23/2024</v>
      </c>
      <c r="E17" s="6" t="str">
        <f t="shared" si="1"/>
        <v>SPXT Index</v>
      </c>
      <c r="F17" s="5">
        <f t="shared" si="2"/>
        <v>2.9440198526276078E-3</v>
      </c>
    </row>
    <row r="18" spans="1:6" x14ac:dyDescent="0.35">
      <c r="A18" s="8">
        <v>45315</v>
      </c>
      <c r="B18" s="7">
        <v>8.2160225722428164E-4</v>
      </c>
      <c r="D18" s="6" t="str">
        <f t="shared" si="0"/>
        <v>01/24/2024</v>
      </c>
      <c r="E18" s="6" t="str">
        <f t="shared" si="1"/>
        <v>SPXT Index</v>
      </c>
      <c r="F18" s="5">
        <f t="shared" si="2"/>
        <v>8.2160225722428164E-4</v>
      </c>
    </row>
    <row r="19" spans="1:6" x14ac:dyDescent="0.35">
      <c r="A19" s="10">
        <v>45316</v>
      </c>
      <c r="B19" s="9">
        <v>5.3170715060326173E-3</v>
      </c>
      <c r="D19" s="6" t="str">
        <f t="shared" si="0"/>
        <v>01/25/2024</v>
      </c>
      <c r="E19" s="6" t="str">
        <f t="shared" si="1"/>
        <v>SPXT Index</v>
      </c>
      <c r="F19" s="5">
        <f t="shared" si="2"/>
        <v>5.3170715060326173E-3</v>
      </c>
    </row>
    <row r="20" spans="1:6" x14ac:dyDescent="0.35">
      <c r="A20" s="8">
        <v>45317</v>
      </c>
      <c r="B20" s="7">
        <v>-6.5062851657637737E-4</v>
      </c>
      <c r="D20" s="6" t="str">
        <f t="shared" si="0"/>
        <v>01/26/2024</v>
      </c>
      <c r="E20" s="6" t="str">
        <f t="shared" si="1"/>
        <v>SPXT Index</v>
      </c>
      <c r="F20" s="5">
        <f t="shared" si="2"/>
        <v>-6.5062851657637737E-4</v>
      </c>
    </row>
    <row r="21" spans="1:6" x14ac:dyDescent="0.35">
      <c r="A21" s="10">
        <v>45320</v>
      </c>
      <c r="B21" s="9">
        <v>7.5739062088669941E-3</v>
      </c>
      <c r="D21" s="6" t="str">
        <f t="shared" si="0"/>
        <v>01/29/2024</v>
      </c>
      <c r="E21" s="6" t="str">
        <f t="shared" si="1"/>
        <v>SPXT Index</v>
      </c>
      <c r="F21" s="5">
        <f t="shared" si="2"/>
        <v>7.5739062088669941E-3</v>
      </c>
    </row>
    <row r="22" spans="1:6" x14ac:dyDescent="0.35">
      <c r="A22" s="8">
        <v>45321</v>
      </c>
      <c r="B22" s="7">
        <v>-5.197359179659383E-4</v>
      </c>
      <c r="D22" s="6" t="str">
        <f t="shared" si="0"/>
        <v>01/30/2024</v>
      </c>
      <c r="E22" s="6" t="str">
        <f t="shared" si="1"/>
        <v>SPXT Index</v>
      </c>
      <c r="F22" s="5">
        <f t="shared" si="2"/>
        <v>-5.197359179659383E-4</v>
      </c>
    </row>
    <row r="23" spans="1:6" x14ac:dyDescent="0.35">
      <c r="A23" s="10">
        <v>45322</v>
      </c>
      <c r="B23" s="9">
        <v>-1.6075218191784046E-2</v>
      </c>
      <c r="D23" s="6" t="str">
        <f t="shared" si="0"/>
        <v>01/31/2024</v>
      </c>
      <c r="E23" s="6" t="str">
        <f t="shared" si="1"/>
        <v>SPXT Index</v>
      </c>
      <c r="F23" s="5">
        <f t="shared" si="2"/>
        <v>-1.6075218191784046E-2</v>
      </c>
    </row>
    <row r="24" spans="1:6" x14ac:dyDescent="0.35">
      <c r="A24" s="8">
        <v>45323</v>
      </c>
      <c r="B24" s="7">
        <v>1.2546922404484004E-2</v>
      </c>
      <c r="D24" s="6" t="str">
        <f t="shared" si="0"/>
        <v>02/01/2024</v>
      </c>
      <c r="E24" s="6" t="str">
        <f t="shared" si="1"/>
        <v>SPXT Index</v>
      </c>
      <c r="F24" s="5">
        <f t="shared" si="2"/>
        <v>1.2546922404484004E-2</v>
      </c>
    </row>
    <row r="25" spans="1:6" x14ac:dyDescent="0.35">
      <c r="A25" s="10">
        <v>45324</v>
      </c>
      <c r="B25" s="9">
        <v>1.0731543081347618E-2</v>
      </c>
      <c r="D25" s="6" t="str">
        <f t="shared" si="0"/>
        <v>02/02/2024</v>
      </c>
      <c r="E25" s="6" t="str">
        <f t="shared" si="1"/>
        <v>SPXT Index</v>
      </c>
      <c r="F25" s="5">
        <f t="shared" si="2"/>
        <v>1.0731543081347618E-2</v>
      </c>
    </row>
    <row r="26" spans="1:6" x14ac:dyDescent="0.35">
      <c r="A26" s="8">
        <v>45327</v>
      </c>
      <c r="B26" s="7">
        <v>-3.1766265788922212E-3</v>
      </c>
      <c r="D26" s="6" t="str">
        <f t="shared" si="0"/>
        <v>02/05/2024</v>
      </c>
      <c r="E26" s="6" t="str">
        <f t="shared" si="1"/>
        <v>SPXT Index</v>
      </c>
      <c r="F26" s="5">
        <f t="shared" si="2"/>
        <v>-3.1766265788922212E-3</v>
      </c>
    </row>
    <row r="27" spans="1:6" x14ac:dyDescent="0.35">
      <c r="A27" s="10">
        <v>45328</v>
      </c>
      <c r="B27" s="9">
        <v>2.3391900204515299E-3</v>
      </c>
      <c r="D27" s="6" t="str">
        <f t="shared" si="0"/>
        <v>02/06/2024</v>
      </c>
      <c r="E27" s="6" t="str">
        <f t="shared" si="1"/>
        <v>SPXT Index</v>
      </c>
      <c r="F27" s="5">
        <f t="shared" si="2"/>
        <v>2.3391900204515299E-3</v>
      </c>
    </row>
    <row r="28" spans="1:6" x14ac:dyDescent="0.35">
      <c r="A28" s="8">
        <v>45329</v>
      </c>
      <c r="B28" s="7">
        <v>8.2546653666313169E-3</v>
      </c>
      <c r="D28" s="6" t="str">
        <f t="shared" si="0"/>
        <v>02/07/2024</v>
      </c>
      <c r="E28" s="6" t="str">
        <f t="shared" si="1"/>
        <v>SPXT Index</v>
      </c>
      <c r="F28" s="5">
        <f t="shared" si="2"/>
        <v>8.2546653666313169E-3</v>
      </c>
    </row>
    <row r="29" spans="1:6" x14ac:dyDescent="0.35">
      <c r="A29" s="10">
        <v>45330</v>
      </c>
      <c r="B29" s="9">
        <v>6.9734298468349337E-4</v>
      </c>
      <c r="D29" s="6" t="str">
        <f t="shared" si="0"/>
        <v>02/08/2024</v>
      </c>
      <c r="E29" s="6" t="str">
        <f t="shared" si="1"/>
        <v>SPXT Index</v>
      </c>
      <c r="F29" s="5">
        <f t="shared" si="2"/>
        <v>6.9734298468349337E-4</v>
      </c>
    </row>
    <row r="30" spans="1:6" x14ac:dyDescent="0.35">
      <c r="A30" s="8">
        <v>45331</v>
      </c>
      <c r="B30" s="7">
        <v>5.8379082843841258E-3</v>
      </c>
      <c r="D30" s="6" t="str">
        <f t="shared" si="0"/>
        <v>02/09/2024</v>
      </c>
      <c r="E30" s="6" t="str">
        <f t="shared" si="1"/>
        <v>SPXT Index</v>
      </c>
      <c r="F30" s="5">
        <f t="shared" si="2"/>
        <v>5.8379082843841258E-3</v>
      </c>
    </row>
    <row r="31" spans="1:6" x14ac:dyDescent="0.35">
      <c r="A31" s="10">
        <v>45334</v>
      </c>
      <c r="B31" s="9">
        <v>-9.359850462625041E-4</v>
      </c>
      <c r="D31" s="6" t="str">
        <f t="shared" si="0"/>
        <v>02/12/2024</v>
      </c>
      <c r="E31" s="6" t="str">
        <f t="shared" si="1"/>
        <v>SPXT Index</v>
      </c>
      <c r="F31" s="5">
        <f t="shared" si="2"/>
        <v>-9.359850462625041E-4</v>
      </c>
    </row>
    <row r="32" spans="1:6" x14ac:dyDescent="0.35">
      <c r="A32" s="8">
        <v>45335</v>
      </c>
      <c r="B32" s="7">
        <v>-1.3556943295053678E-2</v>
      </c>
      <c r="D32" s="6" t="str">
        <f t="shared" si="0"/>
        <v>02/13/2024</v>
      </c>
      <c r="E32" s="6" t="str">
        <f t="shared" si="1"/>
        <v>SPXT Index</v>
      </c>
      <c r="F32" s="5">
        <f t="shared" si="2"/>
        <v>-1.3556943295053678E-2</v>
      </c>
    </row>
    <row r="33" spans="1:6" x14ac:dyDescent="0.35">
      <c r="A33" s="10">
        <v>45336</v>
      </c>
      <c r="B33" s="9">
        <v>9.7683292348747196E-3</v>
      </c>
      <c r="D33" s="6" t="str">
        <f t="shared" si="0"/>
        <v>02/14/2024</v>
      </c>
      <c r="E33" s="6" t="str">
        <f t="shared" si="1"/>
        <v>SPXT Index</v>
      </c>
      <c r="F33" s="5">
        <f t="shared" si="2"/>
        <v>9.7683292348747196E-3</v>
      </c>
    </row>
    <row r="34" spans="1:6" x14ac:dyDescent="0.35">
      <c r="A34" s="8">
        <v>45337</v>
      </c>
      <c r="B34" s="7">
        <v>6.0481045153770834E-3</v>
      </c>
      <c r="D34" s="6" t="str">
        <f t="shared" si="0"/>
        <v>02/15/2024</v>
      </c>
      <c r="E34" s="6" t="str">
        <f t="shared" si="1"/>
        <v>SPXT Index</v>
      </c>
      <c r="F34" s="5">
        <f t="shared" si="2"/>
        <v>6.0481045153770834E-3</v>
      </c>
    </row>
    <row r="35" spans="1:6" x14ac:dyDescent="0.35">
      <c r="A35" s="10">
        <v>45338</v>
      </c>
      <c r="B35" s="9">
        <v>-4.645147571425587E-3</v>
      </c>
      <c r="D35" s="6" t="str">
        <f t="shared" si="0"/>
        <v>02/16/2024</v>
      </c>
      <c r="E35" s="6" t="str">
        <f t="shared" si="1"/>
        <v>SPXT Index</v>
      </c>
      <c r="F35" s="5">
        <f t="shared" si="2"/>
        <v>-4.645147571425587E-3</v>
      </c>
    </row>
    <row r="36" spans="1:6" x14ac:dyDescent="0.35">
      <c r="A36" s="8">
        <v>45342</v>
      </c>
      <c r="B36" s="7">
        <v>-5.9698166512118676E-3</v>
      </c>
      <c r="D36" s="6" t="str">
        <f t="shared" si="0"/>
        <v>02/20/2024</v>
      </c>
      <c r="E36" s="6" t="str">
        <f t="shared" si="1"/>
        <v>SPXT Index</v>
      </c>
      <c r="F36" s="5">
        <f t="shared" si="2"/>
        <v>-5.9698166512118676E-3</v>
      </c>
    </row>
    <row r="37" spans="1:6" x14ac:dyDescent="0.35">
      <c r="A37" s="10">
        <v>45343</v>
      </c>
      <c r="B37" s="9">
        <v>1.3089635750547504E-3</v>
      </c>
      <c r="D37" s="6" t="str">
        <f t="shared" si="0"/>
        <v>02/21/2024</v>
      </c>
      <c r="E37" s="6" t="str">
        <f t="shared" si="1"/>
        <v>SPXT Index</v>
      </c>
      <c r="F37" s="5">
        <f t="shared" si="2"/>
        <v>1.3089635750547504E-3</v>
      </c>
    </row>
    <row r="38" spans="1:6" x14ac:dyDescent="0.35">
      <c r="A38" s="8">
        <v>45344</v>
      </c>
      <c r="B38" s="7">
        <v>2.1176009096182457E-2</v>
      </c>
      <c r="D38" s="6" t="str">
        <f t="shared" si="0"/>
        <v>02/22/2024</v>
      </c>
      <c r="E38" s="6" t="str">
        <f t="shared" si="1"/>
        <v>SPXT Index</v>
      </c>
      <c r="F38" s="5">
        <f t="shared" si="2"/>
        <v>2.1176009096182457E-2</v>
      </c>
    </row>
    <row r="39" spans="1:6" x14ac:dyDescent="0.35">
      <c r="A39" s="10">
        <v>45345</v>
      </c>
      <c r="B39" s="9">
        <v>3.6963820754459922E-4</v>
      </c>
      <c r="D39" s="6" t="str">
        <f t="shared" si="0"/>
        <v>02/23/2024</v>
      </c>
      <c r="E39" s="6" t="str">
        <f t="shared" si="1"/>
        <v>SPXT Index</v>
      </c>
      <c r="F39" s="5">
        <f t="shared" si="2"/>
        <v>3.6963820754459922E-4</v>
      </c>
    </row>
    <row r="40" spans="1:6" x14ac:dyDescent="0.35">
      <c r="A40" s="8">
        <v>45348</v>
      </c>
      <c r="B40" s="7">
        <v>-3.7493547306169804E-3</v>
      </c>
      <c r="D40" s="6" t="str">
        <f t="shared" si="0"/>
        <v>02/26/2024</v>
      </c>
      <c r="E40" s="6" t="str">
        <f t="shared" si="1"/>
        <v>SPXT Index</v>
      </c>
      <c r="F40" s="5">
        <f t="shared" si="2"/>
        <v>-3.7493547306169804E-3</v>
      </c>
    </row>
    <row r="41" spans="1:6" x14ac:dyDescent="0.35">
      <c r="A41" s="10">
        <v>45349</v>
      </c>
      <c r="B41" s="9">
        <v>1.721739920912732E-3</v>
      </c>
      <c r="D41" s="6" t="str">
        <f t="shared" si="0"/>
        <v>02/27/2024</v>
      </c>
      <c r="E41" s="6" t="str">
        <f t="shared" si="1"/>
        <v>SPXT Index</v>
      </c>
      <c r="F41" s="5">
        <f t="shared" si="2"/>
        <v>1.721739920912732E-3</v>
      </c>
    </row>
    <row r="42" spans="1:6" x14ac:dyDescent="0.35">
      <c r="A42" s="8">
        <v>45350</v>
      </c>
      <c r="B42" s="7">
        <v>-1.5645078152791594E-3</v>
      </c>
      <c r="D42" s="6" t="str">
        <f t="shared" si="0"/>
        <v>02/28/2024</v>
      </c>
      <c r="E42" s="6" t="str">
        <f t="shared" si="1"/>
        <v>SPXT Index</v>
      </c>
      <c r="F42" s="5">
        <f t="shared" si="2"/>
        <v>-1.5645078152791594E-3</v>
      </c>
    </row>
    <row r="43" spans="1:6" x14ac:dyDescent="0.35">
      <c r="A43" s="10">
        <v>45351</v>
      </c>
      <c r="B43" s="9">
        <v>5.4452745814473329E-3</v>
      </c>
      <c r="D43" s="6" t="str">
        <f t="shared" si="0"/>
        <v>02/29/2024</v>
      </c>
      <c r="E43" s="6" t="str">
        <f t="shared" si="1"/>
        <v>SPXT Index</v>
      </c>
      <c r="F43" s="5">
        <f t="shared" si="2"/>
        <v>5.4452745814473329E-3</v>
      </c>
    </row>
    <row r="44" spans="1:6" x14ac:dyDescent="0.35">
      <c r="A44" s="8">
        <v>45352</v>
      </c>
      <c r="B44" s="7">
        <v>8.0662730708698036E-3</v>
      </c>
      <c r="D44" s="6" t="str">
        <f t="shared" si="0"/>
        <v>03/01/2024</v>
      </c>
      <c r="E44" s="6" t="str">
        <f t="shared" si="1"/>
        <v>SPXT Index</v>
      </c>
      <c r="F44" s="5">
        <f t="shared" si="2"/>
        <v>8.0662730708698036E-3</v>
      </c>
    </row>
    <row r="45" spans="1:6" x14ac:dyDescent="0.35">
      <c r="A45" s="10">
        <v>45355</v>
      </c>
      <c r="B45" s="9">
        <v>-1.1577084009634585E-3</v>
      </c>
      <c r="D45" s="6" t="str">
        <f t="shared" si="0"/>
        <v>03/04/2024</v>
      </c>
      <c r="E45" s="6" t="str">
        <f t="shared" si="1"/>
        <v>SPXT Index</v>
      </c>
      <c r="F45" s="5">
        <f t="shared" si="2"/>
        <v>-1.1577084009634585E-3</v>
      </c>
    </row>
    <row r="46" spans="1:6" x14ac:dyDescent="0.35">
      <c r="A46" s="8">
        <v>45356</v>
      </c>
      <c r="B46" s="7">
        <v>-1.0169296750080615E-2</v>
      </c>
      <c r="D46" s="6" t="str">
        <f t="shared" si="0"/>
        <v>03/05/2024</v>
      </c>
      <c r="E46" s="6" t="str">
        <f t="shared" si="1"/>
        <v>SPXT Index</v>
      </c>
      <c r="F46" s="5">
        <f t="shared" si="2"/>
        <v>-1.0169296750080615E-2</v>
      </c>
    </row>
    <row r="47" spans="1:6" x14ac:dyDescent="0.35">
      <c r="A47" s="10">
        <v>45357</v>
      </c>
      <c r="B47" s="9">
        <v>5.2144367972890909E-3</v>
      </c>
      <c r="D47" s="6" t="str">
        <f t="shared" si="0"/>
        <v>03/06/2024</v>
      </c>
      <c r="E47" s="6" t="str">
        <f t="shared" si="1"/>
        <v>SPXT Index</v>
      </c>
      <c r="F47" s="5">
        <f t="shared" si="2"/>
        <v>5.2144367972890909E-3</v>
      </c>
    </row>
    <row r="48" spans="1:6" x14ac:dyDescent="0.35">
      <c r="A48" s="8">
        <v>45358</v>
      </c>
      <c r="B48" s="7">
        <v>1.0443350642671182E-2</v>
      </c>
      <c r="D48" s="6" t="str">
        <f t="shared" si="0"/>
        <v>03/07/2024</v>
      </c>
      <c r="E48" s="6" t="str">
        <f t="shared" si="1"/>
        <v>SPXT Index</v>
      </c>
      <c r="F48" s="5">
        <f t="shared" si="2"/>
        <v>1.0443350642671182E-2</v>
      </c>
    </row>
    <row r="49" spans="1:6" x14ac:dyDescent="0.35">
      <c r="A49" s="10">
        <v>45359</v>
      </c>
      <c r="B49" s="9">
        <v>-6.4580712048785327E-3</v>
      </c>
      <c r="D49" s="6" t="str">
        <f t="shared" si="0"/>
        <v>03/08/2024</v>
      </c>
      <c r="E49" s="6" t="str">
        <f t="shared" si="1"/>
        <v>SPXT Index</v>
      </c>
      <c r="F49" s="5">
        <f t="shared" si="2"/>
        <v>-6.4580712048785327E-3</v>
      </c>
    </row>
    <row r="50" spans="1:6" x14ac:dyDescent="0.35">
      <c r="A50" s="8">
        <v>45362</v>
      </c>
      <c r="B50" s="7">
        <v>-1.1198922890112257E-3</v>
      </c>
      <c r="D50" s="6" t="str">
        <f t="shared" si="0"/>
        <v>03/11/2024</v>
      </c>
      <c r="E50" s="6" t="str">
        <f t="shared" si="1"/>
        <v>SPXT Index</v>
      </c>
      <c r="F50" s="5">
        <f t="shared" si="2"/>
        <v>-1.1198922890112257E-3</v>
      </c>
    </row>
    <row r="51" spans="1:6" x14ac:dyDescent="0.35">
      <c r="A51" s="10">
        <v>45363</v>
      </c>
      <c r="B51" s="9">
        <v>1.123397347936436E-2</v>
      </c>
      <c r="D51" s="6" t="str">
        <f t="shared" si="0"/>
        <v>03/12/2024</v>
      </c>
      <c r="E51" s="6" t="str">
        <f t="shared" si="1"/>
        <v>SPXT Index</v>
      </c>
      <c r="F51" s="5">
        <f t="shared" si="2"/>
        <v>1.123397347936436E-2</v>
      </c>
    </row>
    <row r="52" spans="1:6" x14ac:dyDescent="0.35">
      <c r="A52" s="8">
        <v>45364</v>
      </c>
      <c r="B52" s="7">
        <v>-1.8828202440547776E-3</v>
      </c>
      <c r="D52" s="6" t="str">
        <f t="shared" si="0"/>
        <v>03/13/2024</v>
      </c>
      <c r="E52" s="6" t="str">
        <f t="shared" si="1"/>
        <v>SPXT Index</v>
      </c>
      <c r="F52" s="5">
        <f t="shared" si="2"/>
        <v>-1.8828202440547776E-3</v>
      </c>
    </row>
    <row r="53" spans="1:6" x14ac:dyDescent="0.35">
      <c r="A53" s="10">
        <v>45365</v>
      </c>
      <c r="B53" s="9">
        <v>-2.6254089665069947E-3</v>
      </c>
      <c r="D53" s="6" t="str">
        <f t="shared" si="0"/>
        <v>03/14/2024</v>
      </c>
      <c r="E53" s="6" t="str">
        <f t="shared" si="1"/>
        <v>SPXT Index</v>
      </c>
      <c r="F53" s="5">
        <f t="shared" si="2"/>
        <v>-2.6254089665069947E-3</v>
      </c>
    </row>
    <row r="54" spans="1:6" x14ac:dyDescent="0.35">
      <c r="A54" s="8">
        <v>45366</v>
      </c>
      <c r="B54" s="7">
        <v>-6.4498540827772856E-3</v>
      </c>
      <c r="D54" s="6" t="str">
        <f t="shared" si="0"/>
        <v>03/15/2024</v>
      </c>
      <c r="E54" s="6" t="str">
        <f t="shared" si="1"/>
        <v>SPXT Index</v>
      </c>
      <c r="F54" s="5">
        <f t="shared" si="2"/>
        <v>-6.4498540827772856E-3</v>
      </c>
    </row>
    <row r="55" spans="1:6" x14ac:dyDescent="0.35">
      <c r="A55" s="10">
        <v>45369</v>
      </c>
      <c r="B55" s="9">
        <v>6.3288918636630167E-3</v>
      </c>
      <c r="D55" s="6" t="str">
        <f t="shared" si="0"/>
        <v>03/18/2024</v>
      </c>
      <c r="E55" s="6" t="str">
        <f t="shared" si="1"/>
        <v>SPXT Index</v>
      </c>
      <c r="F55" s="5">
        <f t="shared" si="2"/>
        <v>6.3288918636630167E-3</v>
      </c>
    </row>
    <row r="56" spans="1:6" x14ac:dyDescent="0.35">
      <c r="A56" s="8">
        <v>45370</v>
      </c>
      <c r="B56" s="7">
        <v>5.6490053674042541E-3</v>
      </c>
      <c r="D56" s="6" t="str">
        <f t="shared" si="0"/>
        <v>03/19/2024</v>
      </c>
      <c r="E56" s="6" t="str">
        <f t="shared" si="1"/>
        <v>SPXT Index</v>
      </c>
      <c r="F56" s="5">
        <f t="shared" si="2"/>
        <v>5.6490053674042541E-3</v>
      </c>
    </row>
    <row r="57" spans="1:6" x14ac:dyDescent="0.35">
      <c r="A57" s="10">
        <v>45371</v>
      </c>
      <c r="B57" s="9">
        <v>9.0370629811995888E-3</v>
      </c>
      <c r="D57" s="6" t="str">
        <f t="shared" si="0"/>
        <v>03/20/2024</v>
      </c>
      <c r="E57" s="6" t="str">
        <f t="shared" si="1"/>
        <v>SPXT Index</v>
      </c>
      <c r="F57" s="5">
        <f t="shared" si="2"/>
        <v>9.0370629811995888E-3</v>
      </c>
    </row>
    <row r="58" spans="1:6" x14ac:dyDescent="0.35">
      <c r="A58" s="8">
        <v>45372</v>
      </c>
      <c r="B58" s="7">
        <v>3.2596562912687904E-3</v>
      </c>
      <c r="D58" s="6" t="str">
        <f t="shared" si="0"/>
        <v>03/21/2024</v>
      </c>
      <c r="E58" s="6" t="str">
        <f t="shared" si="1"/>
        <v>SPXT Index</v>
      </c>
      <c r="F58" s="5">
        <f t="shared" si="2"/>
        <v>3.2596562912687904E-3</v>
      </c>
    </row>
    <row r="59" spans="1:6" x14ac:dyDescent="0.35">
      <c r="A59" s="10">
        <v>45373</v>
      </c>
      <c r="B59" s="9">
        <v>-1.3523137297602661E-3</v>
      </c>
      <c r="D59" s="6" t="str">
        <f t="shared" si="0"/>
        <v>03/22/2024</v>
      </c>
      <c r="E59" s="6" t="str">
        <f t="shared" si="1"/>
        <v>SPXT Index</v>
      </c>
      <c r="F59" s="5">
        <f t="shared" si="2"/>
        <v>-1.3523137297602661E-3</v>
      </c>
    </row>
    <row r="60" spans="1:6" x14ac:dyDescent="0.35">
      <c r="A60" s="8">
        <v>45376</v>
      </c>
      <c r="B60" s="7">
        <v>-3.0556193058863981E-3</v>
      </c>
      <c r="D60" s="6" t="str">
        <f t="shared" si="0"/>
        <v>03/25/2024</v>
      </c>
      <c r="E60" s="6" t="str">
        <f t="shared" si="1"/>
        <v>SPXT Index</v>
      </c>
      <c r="F60" s="5">
        <f t="shared" si="2"/>
        <v>-3.0556193058863981E-3</v>
      </c>
    </row>
    <row r="61" spans="1:6" x14ac:dyDescent="0.35">
      <c r="A61" s="10">
        <v>45377</v>
      </c>
      <c r="B61" s="9">
        <v>-2.7986177139358959E-3</v>
      </c>
      <c r="D61" s="6" t="str">
        <f t="shared" si="0"/>
        <v>03/26/2024</v>
      </c>
      <c r="E61" s="6" t="str">
        <f t="shared" si="1"/>
        <v>SPXT Index</v>
      </c>
      <c r="F61" s="5">
        <f t="shared" si="2"/>
        <v>-2.7986177139358959E-3</v>
      </c>
    </row>
    <row r="62" spans="1:6" x14ac:dyDescent="0.35">
      <c r="A62" s="8">
        <v>45378</v>
      </c>
      <c r="B62" s="7">
        <v>8.7510978674174619E-3</v>
      </c>
      <c r="D62" s="6" t="str">
        <f t="shared" si="0"/>
        <v>03/27/2024</v>
      </c>
      <c r="E62" s="6" t="str">
        <f t="shared" si="1"/>
        <v>SPXT Index</v>
      </c>
      <c r="F62" s="5">
        <f t="shared" si="2"/>
        <v>8.7510978674174619E-3</v>
      </c>
    </row>
    <row r="63" spans="1:6" x14ac:dyDescent="0.35">
      <c r="A63" s="10">
        <v>45379</v>
      </c>
      <c r="B63" s="9">
        <v>1.1468704378361963E-3</v>
      </c>
      <c r="D63" s="6" t="str">
        <f t="shared" si="0"/>
        <v>03/28/2024</v>
      </c>
      <c r="E63" s="6" t="str">
        <f t="shared" si="1"/>
        <v>SPXT Index</v>
      </c>
      <c r="F63" s="5">
        <f t="shared" si="2"/>
        <v>1.1468704378361963E-3</v>
      </c>
    </row>
    <row r="64" spans="1:6" x14ac:dyDescent="0.35">
      <c r="A64" s="8">
        <v>45383</v>
      </c>
      <c r="B64" s="7">
        <v>-2.0099789543380712E-3</v>
      </c>
      <c r="D64" s="6" t="str">
        <f t="shared" si="0"/>
        <v>04/01/2024</v>
      </c>
      <c r="E64" s="6" t="str">
        <f t="shared" si="1"/>
        <v>SPXT Index</v>
      </c>
      <c r="F64" s="5">
        <f t="shared" si="2"/>
        <v>-2.0099789543380712E-3</v>
      </c>
    </row>
    <row r="65" spans="1:6" x14ac:dyDescent="0.35">
      <c r="A65" s="10">
        <v>45384</v>
      </c>
      <c r="B65" s="9">
        <v>-7.2118844273142699E-3</v>
      </c>
      <c r="D65" s="6" t="str">
        <f t="shared" si="0"/>
        <v>04/02/2024</v>
      </c>
      <c r="E65" s="6" t="str">
        <f t="shared" si="1"/>
        <v>SPXT Index</v>
      </c>
      <c r="F65" s="5">
        <f t="shared" si="2"/>
        <v>-7.2118844273142699E-3</v>
      </c>
    </row>
    <row r="66" spans="1:6" x14ac:dyDescent="0.35">
      <c r="A66" s="8">
        <v>45385</v>
      </c>
      <c r="B66" s="7">
        <v>1.1385232787349856E-3</v>
      </c>
      <c r="D66" s="6" t="str">
        <f t="shared" si="0"/>
        <v>04/03/2024</v>
      </c>
      <c r="E66" s="6" t="str">
        <f t="shared" si="1"/>
        <v>SPXT Index</v>
      </c>
      <c r="F66" s="5">
        <f t="shared" si="2"/>
        <v>1.1385232787349856E-3</v>
      </c>
    </row>
    <row r="67" spans="1:6" x14ac:dyDescent="0.35">
      <c r="A67" s="10">
        <v>45386</v>
      </c>
      <c r="B67" s="9">
        <v>-1.2210196560413576E-2</v>
      </c>
      <c r="D67" s="6" t="str">
        <f t="shared" ref="D67:D130" si="3">IF(A67 =  "", "",  TEXT(A67, "mm/dd/yyyy"))</f>
        <v>04/04/2024</v>
      </c>
      <c r="E67" s="6" t="str">
        <f t="shared" ref="E67:E130" si="4">IF(A67="", "", EntityLocal)</f>
        <v>SPXT Index</v>
      </c>
      <c r="F67" s="5">
        <f t="shared" ref="F67:F130" si="5">IF(B67="","", B67)</f>
        <v>-1.2210196560413576E-2</v>
      </c>
    </row>
    <row r="68" spans="1:6" x14ac:dyDescent="0.35">
      <c r="A68" s="8">
        <v>45387</v>
      </c>
      <c r="B68" s="7">
        <v>1.1102579756495956E-2</v>
      </c>
      <c r="D68" s="6" t="str">
        <f t="shared" si="3"/>
        <v>04/05/2024</v>
      </c>
      <c r="E68" s="6" t="str">
        <f t="shared" si="4"/>
        <v>SPXT Index</v>
      </c>
      <c r="F68" s="5">
        <f t="shared" si="5"/>
        <v>1.1102579756495956E-2</v>
      </c>
    </row>
    <row r="69" spans="1:6" x14ac:dyDescent="0.35">
      <c r="A69" s="10">
        <v>45390</v>
      </c>
      <c r="B69" s="9">
        <v>-3.5715232900455923E-4</v>
      </c>
      <c r="D69" s="6" t="str">
        <f t="shared" si="3"/>
        <v>04/08/2024</v>
      </c>
      <c r="E69" s="6" t="str">
        <f t="shared" si="4"/>
        <v>SPXT Index</v>
      </c>
      <c r="F69" s="5">
        <f t="shared" si="5"/>
        <v>-3.5715232900455923E-4</v>
      </c>
    </row>
    <row r="70" spans="1:6" x14ac:dyDescent="0.35">
      <c r="A70" s="8">
        <v>45391</v>
      </c>
      <c r="B70" s="7">
        <v>1.5891882140070842E-3</v>
      </c>
      <c r="D70" s="6" t="str">
        <f t="shared" si="3"/>
        <v>04/09/2024</v>
      </c>
      <c r="E70" s="6" t="str">
        <f t="shared" si="4"/>
        <v>SPXT Index</v>
      </c>
      <c r="F70" s="5">
        <f t="shared" si="5"/>
        <v>1.5891882140070842E-3</v>
      </c>
    </row>
    <row r="71" spans="1:6" x14ac:dyDescent="0.35">
      <c r="A71" s="10">
        <v>45392</v>
      </c>
      <c r="B71" s="9">
        <v>-9.4387685276668618E-3</v>
      </c>
      <c r="D71" s="6" t="str">
        <f t="shared" si="3"/>
        <v>04/10/2024</v>
      </c>
      <c r="E71" s="6" t="str">
        <f t="shared" si="4"/>
        <v>SPXT Index</v>
      </c>
      <c r="F71" s="5">
        <f t="shared" si="5"/>
        <v>-9.4387685276668618E-3</v>
      </c>
    </row>
    <row r="72" spans="1:6" x14ac:dyDescent="0.35">
      <c r="A72" s="8">
        <v>45393</v>
      </c>
      <c r="B72" s="7">
        <v>7.4696511993782803E-3</v>
      </c>
      <c r="D72" s="6" t="str">
        <f t="shared" si="3"/>
        <v>04/11/2024</v>
      </c>
      <c r="E72" s="6" t="str">
        <f t="shared" si="4"/>
        <v>SPXT Index</v>
      </c>
      <c r="F72" s="5">
        <f t="shared" si="5"/>
        <v>7.4696511993782803E-3</v>
      </c>
    </row>
    <row r="73" spans="1:6" x14ac:dyDescent="0.35">
      <c r="A73" s="10">
        <v>45394</v>
      </c>
      <c r="B73" s="9">
        <v>-1.4434821230291047E-2</v>
      </c>
      <c r="D73" s="6" t="str">
        <f t="shared" si="3"/>
        <v>04/12/2024</v>
      </c>
      <c r="E73" s="6" t="str">
        <f t="shared" si="4"/>
        <v>SPXT Index</v>
      </c>
      <c r="F73" s="5">
        <f t="shared" si="5"/>
        <v>-1.4434821230291047E-2</v>
      </c>
    </row>
    <row r="74" spans="1:6" x14ac:dyDescent="0.35">
      <c r="A74" s="8">
        <v>45397</v>
      </c>
      <c r="B74" s="7">
        <v>-1.2008747345004716E-2</v>
      </c>
      <c r="D74" s="6" t="str">
        <f t="shared" si="3"/>
        <v>04/15/2024</v>
      </c>
      <c r="E74" s="6" t="str">
        <f t="shared" si="4"/>
        <v>SPXT Index</v>
      </c>
      <c r="F74" s="5">
        <f t="shared" si="5"/>
        <v>-1.2008747345004716E-2</v>
      </c>
    </row>
    <row r="75" spans="1:6" x14ac:dyDescent="0.35">
      <c r="A75" s="10">
        <v>45398</v>
      </c>
      <c r="B75" s="9">
        <v>-2.0553154254967058E-3</v>
      </c>
      <c r="D75" s="6" t="str">
        <f t="shared" si="3"/>
        <v>04/16/2024</v>
      </c>
      <c r="E75" s="6" t="str">
        <f t="shared" si="4"/>
        <v>SPXT Index</v>
      </c>
      <c r="F75" s="5">
        <f t="shared" si="5"/>
        <v>-2.0553154254967058E-3</v>
      </c>
    </row>
    <row r="76" spans="1:6" x14ac:dyDescent="0.35">
      <c r="A76" s="8">
        <v>45399</v>
      </c>
      <c r="B76" s="7">
        <v>-5.7816678336227202E-3</v>
      </c>
      <c r="D76" s="6" t="str">
        <f t="shared" si="3"/>
        <v>04/17/2024</v>
      </c>
      <c r="E76" s="6" t="str">
        <f t="shared" si="4"/>
        <v>SPXT Index</v>
      </c>
      <c r="F76" s="5">
        <f t="shared" si="5"/>
        <v>-5.7816678336227202E-3</v>
      </c>
    </row>
    <row r="77" spans="1:6" x14ac:dyDescent="0.35">
      <c r="A77" s="10">
        <v>45400</v>
      </c>
      <c r="B77" s="9">
        <v>-2.1447888133969695E-3</v>
      </c>
      <c r="D77" s="6" t="str">
        <f t="shared" si="3"/>
        <v>04/18/2024</v>
      </c>
      <c r="E77" s="6" t="str">
        <f t="shared" si="4"/>
        <v>SPXT Index</v>
      </c>
      <c r="F77" s="5">
        <f t="shared" si="5"/>
        <v>-2.1447888133969695E-3</v>
      </c>
    </row>
    <row r="78" spans="1:6" x14ac:dyDescent="0.35">
      <c r="A78" s="8">
        <v>45401</v>
      </c>
      <c r="B78" s="7">
        <v>-8.7104800171070723E-3</v>
      </c>
      <c r="D78" s="6" t="str">
        <f t="shared" si="3"/>
        <v>04/19/2024</v>
      </c>
      <c r="E78" s="6" t="str">
        <f t="shared" si="4"/>
        <v>SPXT Index</v>
      </c>
      <c r="F78" s="5">
        <f t="shared" si="5"/>
        <v>-8.7104800171070723E-3</v>
      </c>
    </row>
    <row r="79" spans="1:6" x14ac:dyDescent="0.35">
      <c r="A79" s="10">
        <v>45404</v>
      </c>
      <c r="B79" s="9">
        <v>8.7314695828966046E-3</v>
      </c>
      <c r="D79" s="6" t="str">
        <f t="shared" si="3"/>
        <v>04/22/2024</v>
      </c>
      <c r="E79" s="6" t="str">
        <f t="shared" si="4"/>
        <v>SPXT Index</v>
      </c>
      <c r="F79" s="5">
        <f t="shared" si="5"/>
        <v>8.7314695828966046E-3</v>
      </c>
    </row>
    <row r="80" spans="1:6" x14ac:dyDescent="0.35">
      <c r="A80" s="8">
        <v>45405</v>
      </c>
      <c r="B80" s="7">
        <v>1.1985715164192105E-2</v>
      </c>
      <c r="D80" s="6" t="str">
        <f t="shared" si="3"/>
        <v>04/23/2024</v>
      </c>
      <c r="E80" s="6" t="str">
        <f t="shared" si="4"/>
        <v>SPXT Index</v>
      </c>
      <c r="F80" s="5">
        <f t="shared" si="5"/>
        <v>1.1985715164192105E-2</v>
      </c>
    </row>
    <row r="81" spans="1:6" x14ac:dyDescent="0.35">
      <c r="A81" s="10">
        <v>45406</v>
      </c>
      <c r="B81" s="9">
        <v>2.1766614729102114E-4</v>
      </c>
      <c r="D81" s="6" t="str">
        <f t="shared" si="3"/>
        <v>04/24/2024</v>
      </c>
      <c r="E81" s="6" t="str">
        <f t="shared" si="4"/>
        <v>SPXT Index</v>
      </c>
      <c r="F81" s="5">
        <f t="shared" si="5"/>
        <v>2.1766614729102114E-4</v>
      </c>
    </row>
    <row r="82" spans="1:6" x14ac:dyDescent="0.35">
      <c r="A82" s="8">
        <v>45407</v>
      </c>
      <c r="B82" s="7">
        <v>-4.5572999312685908E-3</v>
      </c>
      <c r="D82" s="6" t="str">
        <f t="shared" si="3"/>
        <v>04/25/2024</v>
      </c>
      <c r="E82" s="6" t="str">
        <f t="shared" si="4"/>
        <v>SPXT Index</v>
      </c>
      <c r="F82" s="5">
        <f t="shared" si="5"/>
        <v>-4.5572999312685908E-3</v>
      </c>
    </row>
    <row r="83" spans="1:6" x14ac:dyDescent="0.35">
      <c r="A83" s="10">
        <v>45408</v>
      </c>
      <c r="B83" s="9">
        <v>1.0225720063398225E-2</v>
      </c>
      <c r="D83" s="6" t="str">
        <f t="shared" si="3"/>
        <v>04/26/2024</v>
      </c>
      <c r="E83" s="6" t="str">
        <f t="shared" si="4"/>
        <v>SPXT Index</v>
      </c>
      <c r="F83" s="5">
        <f t="shared" si="5"/>
        <v>1.0225720063398225E-2</v>
      </c>
    </row>
    <row r="84" spans="1:6" x14ac:dyDescent="0.35">
      <c r="A84" s="8">
        <v>45411</v>
      </c>
      <c r="B84" s="7">
        <v>3.2298029116918084E-3</v>
      </c>
      <c r="D84" s="6" t="str">
        <f t="shared" si="3"/>
        <v>04/29/2024</v>
      </c>
      <c r="E84" s="6" t="str">
        <f t="shared" si="4"/>
        <v>SPXT Index</v>
      </c>
      <c r="F84" s="5">
        <f t="shared" si="5"/>
        <v>3.2298029116918084E-3</v>
      </c>
    </row>
    <row r="85" spans="1:6" x14ac:dyDescent="0.35">
      <c r="A85" s="10">
        <v>45412</v>
      </c>
      <c r="B85" s="9">
        <v>-1.56943740405599E-2</v>
      </c>
      <c r="D85" s="6" t="str">
        <f t="shared" si="3"/>
        <v>04/30/2024</v>
      </c>
      <c r="E85" s="6" t="str">
        <f t="shared" si="4"/>
        <v>SPXT Index</v>
      </c>
      <c r="F85" s="5">
        <f t="shared" si="5"/>
        <v>-1.56943740405599E-2</v>
      </c>
    </row>
    <row r="86" spans="1:6" x14ac:dyDescent="0.35">
      <c r="A86" s="8">
        <v>45413</v>
      </c>
      <c r="B86" s="7">
        <v>-3.4287039590344542E-3</v>
      </c>
      <c r="D86" s="6" t="str">
        <f t="shared" si="3"/>
        <v>05/01/2024</v>
      </c>
      <c r="E86" s="6" t="str">
        <f t="shared" si="4"/>
        <v>SPXT Index</v>
      </c>
      <c r="F86" s="5">
        <f t="shared" si="5"/>
        <v>-3.4287039590344542E-3</v>
      </c>
    </row>
    <row r="87" spans="1:6" x14ac:dyDescent="0.35">
      <c r="A87" s="10">
        <v>45414</v>
      </c>
      <c r="B87" s="9">
        <v>9.1441262732370552E-3</v>
      </c>
      <c r="D87" s="6" t="str">
        <f t="shared" si="3"/>
        <v>05/02/2024</v>
      </c>
      <c r="E87" s="6" t="str">
        <f t="shared" si="4"/>
        <v>SPXT Index</v>
      </c>
      <c r="F87" s="5">
        <f t="shared" si="5"/>
        <v>9.1441262732370552E-3</v>
      </c>
    </row>
    <row r="88" spans="1:6" x14ac:dyDescent="0.35">
      <c r="A88" s="8">
        <v>45415</v>
      </c>
      <c r="B88" s="7">
        <v>1.260678541952861E-2</v>
      </c>
      <c r="D88" s="6" t="str">
        <f t="shared" si="3"/>
        <v>05/03/2024</v>
      </c>
      <c r="E88" s="6" t="str">
        <f t="shared" si="4"/>
        <v>SPXT Index</v>
      </c>
      <c r="F88" s="5">
        <f t="shared" si="5"/>
        <v>1.260678541952861E-2</v>
      </c>
    </row>
    <row r="89" spans="1:6" x14ac:dyDescent="0.35">
      <c r="A89" s="10">
        <v>45418</v>
      </c>
      <c r="B89" s="9">
        <v>1.0353490974431383E-2</v>
      </c>
      <c r="D89" s="6" t="str">
        <f t="shared" si="3"/>
        <v>05/06/2024</v>
      </c>
      <c r="E89" s="6" t="str">
        <f t="shared" si="4"/>
        <v>SPXT Index</v>
      </c>
      <c r="F89" s="5">
        <f t="shared" si="5"/>
        <v>1.0353490974431383E-2</v>
      </c>
    </row>
    <row r="90" spans="1:6" x14ac:dyDescent="0.35">
      <c r="A90" s="8">
        <v>45419</v>
      </c>
      <c r="B90" s="7">
        <v>1.3959601463583513E-3</v>
      </c>
      <c r="D90" s="6" t="str">
        <f t="shared" si="3"/>
        <v>05/07/2024</v>
      </c>
      <c r="E90" s="6" t="str">
        <f t="shared" si="4"/>
        <v>SPXT Index</v>
      </c>
      <c r="F90" s="5">
        <f t="shared" si="5"/>
        <v>1.3959601463583513E-3</v>
      </c>
    </row>
    <row r="91" spans="1:6" x14ac:dyDescent="0.35">
      <c r="A91" s="10">
        <v>45420</v>
      </c>
      <c r="B91" s="9">
        <v>-4.4310685255240541E-6</v>
      </c>
      <c r="D91" s="6" t="str">
        <f t="shared" si="3"/>
        <v>05/08/2024</v>
      </c>
      <c r="E91" s="6" t="str">
        <f t="shared" si="4"/>
        <v>SPXT Index</v>
      </c>
      <c r="F91" s="5">
        <f t="shared" si="5"/>
        <v>-4.4310685255240541E-6</v>
      </c>
    </row>
    <row r="92" spans="1:6" x14ac:dyDescent="0.35">
      <c r="A92" s="8">
        <v>45421</v>
      </c>
      <c r="B92" s="7">
        <v>5.2854019573002108E-3</v>
      </c>
      <c r="D92" s="6" t="str">
        <f t="shared" si="3"/>
        <v>05/09/2024</v>
      </c>
      <c r="E92" s="6" t="str">
        <f t="shared" si="4"/>
        <v>SPXT Index</v>
      </c>
      <c r="F92" s="5">
        <f t="shared" si="5"/>
        <v>5.2854019573002108E-3</v>
      </c>
    </row>
    <row r="93" spans="1:6" x14ac:dyDescent="0.35">
      <c r="A93" s="10">
        <v>45422</v>
      </c>
      <c r="B93" s="9">
        <v>1.8063128385736036E-3</v>
      </c>
      <c r="D93" s="6" t="str">
        <f t="shared" si="3"/>
        <v>05/10/2024</v>
      </c>
      <c r="E93" s="6" t="str">
        <f t="shared" si="4"/>
        <v>SPXT Index</v>
      </c>
      <c r="F93" s="5">
        <f t="shared" si="5"/>
        <v>1.8063128385736036E-3</v>
      </c>
    </row>
    <row r="94" spans="1:6" x14ac:dyDescent="0.35">
      <c r="A94" s="8">
        <v>45425</v>
      </c>
      <c r="B94" s="7">
        <v>-2.2703193582579312E-4</v>
      </c>
      <c r="D94" s="6" t="str">
        <f t="shared" si="3"/>
        <v>05/13/2024</v>
      </c>
      <c r="E94" s="6" t="str">
        <f t="shared" si="4"/>
        <v>SPXT Index</v>
      </c>
      <c r="F94" s="5">
        <f t="shared" si="5"/>
        <v>-2.2703193582579312E-4</v>
      </c>
    </row>
    <row r="95" spans="1:6" x14ac:dyDescent="0.35">
      <c r="A95" s="10">
        <v>45426</v>
      </c>
      <c r="B95" s="9">
        <v>4.9870351169657486E-3</v>
      </c>
      <c r="D95" s="6" t="str">
        <f t="shared" si="3"/>
        <v>05/14/2024</v>
      </c>
      <c r="E95" s="6" t="str">
        <f t="shared" si="4"/>
        <v>SPXT Index</v>
      </c>
      <c r="F95" s="5">
        <f t="shared" si="5"/>
        <v>4.9870351169657486E-3</v>
      </c>
    </row>
    <row r="96" spans="1:6" x14ac:dyDescent="0.35">
      <c r="A96" s="8">
        <v>45427</v>
      </c>
      <c r="B96" s="7">
        <v>1.190388610384197E-2</v>
      </c>
      <c r="D96" s="6" t="str">
        <f t="shared" si="3"/>
        <v>05/15/2024</v>
      </c>
      <c r="E96" s="6" t="str">
        <f t="shared" si="4"/>
        <v>SPXT Index</v>
      </c>
      <c r="F96" s="5">
        <f t="shared" si="5"/>
        <v>1.190388610384197E-2</v>
      </c>
    </row>
    <row r="97" spans="1:6" x14ac:dyDescent="0.35">
      <c r="A97" s="10">
        <v>45428</v>
      </c>
      <c r="B97" s="9">
        <v>-1.8763999432233481E-3</v>
      </c>
      <c r="D97" s="6" t="str">
        <f t="shared" si="3"/>
        <v>05/16/2024</v>
      </c>
      <c r="E97" s="6" t="str">
        <f t="shared" si="4"/>
        <v>SPXT Index</v>
      </c>
      <c r="F97" s="5">
        <f t="shared" si="5"/>
        <v>-1.8763999432233481E-3</v>
      </c>
    </row>
    <row r="98" spans="1:6" x14ac:dyDescent="0.35">
      <c r="A98" s="8">
        <v>45429</v>
      </c>
      <c r="B98" s="7">
        <v>1.207038281843445E-3</v>
      </c>
      <c r="D98" s="6" t="str">
        <f t="shared" si="3"/>
        <v>05/17/2024</v>
      </c>
      <c r="E98" s="6" t="str">
        <f t="shared" si="4"/>
        <v>SPXT Index</v>
      </c>
      <c r="F98" s="5">
        <f t="shared" si="5"/>
        <v>1.207038281843445E-3</v>
      </c>
    </row>
    <row r="99" spans="1:6" x14ac:dyDescent="0.35">
      <c r="A99" s="10">
        <v>45432</v>
      </c>
      <c r="B99" s="9">
        <v>1.0011882615006296E-3</v>
      </c>
      <c r="D99" s="6" t="str">
        <f t="shared" si="3"/>
        <v>05/20/2024</v>
      </c>
      <c r="E99" s="6" t="str">
        <f t="shared" si="4"/>
        <v>SPXT Index</v>
      </c>
      <c r="F99" s="5">
        <f t="shared" si="5"/>
        <v>1.0011882615006296E-3</v>
      </c>
    </row>
    <row r="100" spans="1:6" x14ac:dyDescent="0.35">
      <c r="A100" s="8">
        <v>45433</v>
      </c>
      <c r="B100" s="7">
        <v>2.5272888359761966E-3</v>
      </c>
      <c r="D100" s="6" t="str">
        <f t="shared" si="3"/>
        <v>05/21/2024</v>
      </c>
      <c r="E100" s="6" t="str">
        <f t="shared" si="4"/>
        <v>SPXT Index</v>
      </c>
      <c r="F100" s="5">
        <f t="shared" si="5"/>
        <v>2.5272888359761966E-3</v>
      </c>
    </row>
    <row r="101" spans="1:6" x14ac:dyDescent="0.35">
      <c r="A101" s="10">
        <v>45434</v>
      </c>
      <c r="B101" s="9">
        <v>-2.6935242361083391E-3</v>
      </c>
      <c r="D101" s="6" t="str">
        <f t="shared" si="3"/>
        <v>05/22/2024</v>
      </c>
      <c r="E101" s="6" t="str">
        <f t="shared" si="4"/>
        <v>SPXT Index</v>
      </c>
      <c r="F101" s="5">
        <f t="shared" si="5"/>
        <v>-2.6935242361083391E-3</v>
      </c>
    </row>
    <row r="102" spans="1:6" x14ac:dyDescent="0.35">
      <c r="A102" s="8">
        <v>45435</v>
      </c>
      <c r="B102" s="7">
        <v>-7.3434730837395271E-3</v>
      </c>
      <c r="D102" s="6" t="str">
        <f t="shared" si="3"/>
        <v>05/23/2024</v>
      </c>
      <c r="E102" s="6" t="str">
        <f t="shared" si="4"/>
        <v>SPXT Index</v>
      </c>
      <c r="F102" s="5">
        <f t="shared" si="5"/>
        <v>-7.3434730837395271E-3</v>
      </c>
    </row>
    <row r="103" spans="1:6" x14ac:dyDescent="0.35">
      <c r="A103" s="10">
        <v>45436</v>
      </c>
      <c r="B103" s="9">
        <v>7.0246831569752482E-3</v>
      </c>
      <c r="D103" s="6" t="str">
        <f t="shared" si="3"/>
        <v>05/24/2024</v>
      </c>
      <c r="E103" s="6" t="str">
        <f t="shared" si="4"/>
        <v>SPXT Index</v>
      </c>
      <c r="F103" s="5">
        <f t="shared" si="5"/>
        <v>7.0246831569752482E-3</v>
      </c>
    </row>
    <row r="104" spans="1:6" x14ac:dyDescent="0.35">
      <c r="A104" s="8">
        <v>45440</v>
      </c>
      <c r="B104" s="7">
        <v>2.5018265931192298E-4</v>
      </c>
      <c r="D104" s="6" t="str">
        <f t="shared" si="3"/>
        <v>05/28/2024</v>
      </c>
      <c r="E104" s="6" t="str">
        <f t="shared" si="4"/>
        <v>SPXT Index</v>
      </c>
      <c r="F104" s="5">
        <f t="shared" si="5"/>
        <v>2.5018265931192298E-4</v>
      </c>
    </row>
    <row r="105" spans="1:6" x14ac:dyDescent="0.35">
      <c r="A105" s="10">
        <v>45441</v>
      </c>
      <c r="B105" s="9">
        <v>-7.3556075797637788E-3</v>
      </c>
      <c r="D105" s="6" t="str">
        <f t="shared" si="3"/>
        <v>05/29/2024</v>
      </c>
      <c r="E105" s="6" t="str">
        <f t="shared" si="4"/>
        <v>SPXT Index</v>
      </c>
      <c r="F105" s="5">
        <f t="shared" si="5"/>
        <v>-7.3556075797637788E-3</v>
      </c>
    </row>
    <row r="106" spans="1:6" x14ac:dyDescent="0.35">
      <c r="A106" s="8">
        <v>45442</v>
      </c>
      <c r="B106" s="7">
        <v>-5.8729879174781357E-3</v>
      </c>
      <c r="D106" s="6" t="str">
        <f t="shared" si="3"/>
        <v>05/30/2024</v>
      </c>
      <c r="E106" s="6" t="str">
        <f t="shared" si="4"/>
        <v>SPXT Index</v>
      </c>
      <c r="F106" s="5">
        <f t="shared" si="5"/>
        <v>-5.8729879174781357E-3</v>
      </c>
    </row>
    <row r="107" spans="1:6" x14ac:dyDescent="0.35">
      <c r="A107" s="10">
        <v>45443</v>
      </c>
      <c r="B107" s="9">
        <v>8.1213109865726808E-3</v>
      </c>
      <c r="D107" s="6" t="str">
        <f t="shared" si="3"/>
        <v>05/31/2024</v>
      </c>
      <c r="E107" s="6" t="str">
        <f t="shared" si="4"/>
        <v>SPXT Index</v>
      </c>
      <c r="F107" s="5">
        <f t="shared" si="5"/>
        <v>8.1213109865726808E-3</v>
      </c>
    </row>
    <row r="108" spans="1:6" x14ac:dyDescent="0.35">
      <c r="A108" s="8">
        <v>45446</v>
      </c>
      <c r="B108" s="7">
        <v>1.2344819786509165E-3</v>
      </c>
      <c r="D108" s="6" t="str">
        <f t="shared" si="3"/>
        <v>06/03/2024</v>
      </c>
      <c r="E108" s="6" t="str">
        <f t="shared" si="4"/>
        <v>SPXT Index</v>
      </c>
      <c r="F108" s="5">
        <f t="shared" si="5"/>
        <v>1.2344819786509165E-3</v>
      </c>
    </row>
    <row r="109" spans="1:6" x14ac:dyDescent="0.35">
      <c r="A109" s="10">
        <v>45447</v>
      </c>
      <c r="B109" s="9">
        <v>1.5570571966540712E-3</v>
      </c>
      <c r="D109" s="6" t="str">
        <f t="shared" si="3"/>
        <v>06/04/2024</v>
      </c>
      <c r="E109" s="6" t="str">
        <f t="shared" si="4"/>
        <v>SPXT Index</v>
      </c>
      <c r="F109" s="5">
        <f t="shared" si="5"/>
        <v>1.5570571966540712E-3</v>
      </c>
    </row>
    <row r="110" spans="1:6" x14ac:dyDescent="0.35">
      <c r="A110" s="8">
        <v>45448</v>
      </c>
      <c r="B110" s="7">
        <v>1.1862779034268786E-2</v>
      </c>
      <c r="D110" s="6" t="str">
        <f t="shared" si="3"/>
        <v>06/05/2024</v>
      </c>
      <c r="E110" s="6" t="str">
        <f t="shared" si="4"/>
        <v>SPXT Index</v>
      </c>
      <c r="F110" s="5">
        <f t="shared" si="5"/>
        <v>1.1862779034268786E-2</v>
      </c>
    </row>
    <row r="111" spans="1:6" x14ac:dyDescent="0.35">
      <c r="A111" s="10">
        <v>45449</v>
      </c>
      <c r="B111" s="9">
        <v>-1.869070737467128E-4</v>
      </c>
      <c r="D111" s="6" t="str">
        <f t="shared" si="3"/>
        <v>06/06/2024</v>
      </c>
      <c r="E111" s="6" t="str">
        <f t="shared" si="4"/>
        <v>SPXT Index</v>
      </c>
      <c r="F111" s="5">
        <f t="shared" si="5"/>
        <v>-1.869070737467128E-4</v>
      </c>
    </row>
    <row r="112" spans="1:6" x14ac:dyDescent="0.35">
      <c r="A112" s="8">
        <v>45450</v>
      </c>
      <c r="B112" s="7">
        <v>-9.3299500830528641E-4</v>
      </c>
      <c r="D112" s="6" t="str">
        <f t="shared" si="3"/>
        <v>06/07/2024</v>
      </c>
      <c r="E112" s="6" t="str">
        <f t="shared" si="4"/>
        <v>SPXT Index</v>
      </c>
      <c r="F112" s="5">
        <f t="shared" si="5"/>
        <v>-9.3299500830528641E-4</v>
      </c>
    </row>
    <row r="113" spans="1:6" x14ac:dyDescent="0.35">
      <c r="A113" s="10">
        <v>45453</v>
      </c>
      <c r="B113" s="9">
        <v>2.665123956159878E-3</v>
      </c>
      <c r="D113" s="6" t="str">
        <f t="shared" si="3"/>
        <v>06/10/2024</v>
      </c>
      <c r="E113" s="6" t="str">
        <f t="shared" si="4"/>
        <v>SPXT Index</v>
      </c>
      <c r="F113" s="5">
        <f t="shared" si="5"/>
        <v>2.665123956159878E-3</v>
      </c>
    </row>
    <row r="114" spans="1:6" x14ac:dyDescent="0.35">
      <c r="A114" s="8">
        <v>45454</v>
      </c>
      <c r="B114" s="7">
        <v>2.7188196076885752E-3</v>
      </c>
      <c r="D114" s="6" t="str">
        <f t="shared" si="3"/>
        <v>06/11/2024</v>
      </c>
      <c r="E114" s="6" t="str">
        <f t="shared" si="4"/>
        <v>SPXT Index</v>
      </c>
      <c r="F114" s="5">
        <f t="shared" si="5"/>
        <v>2.7188196076885752E-3</v>
      </c>
    </row>
    <row r="115" spans="1:6" x14ac:dyDescent="0.35">
      <c r="A115" s="10">
        <v>45455</v>
      </c>
      <c r="B115" s="9">
        <v>8.5262052538567952E-3</v>
      </c>
      <c r="D115" s="6" t="str">
        <f t="shared" si="3"/>
        <v>06/12/2024</v>
      </c>
      <c r="E115" s="6" t="str">
        <f t="shared" si="4"/>
        <v>SPXT Index</v>
      </c>
      <c r="F115" s="5">
        <f t="shared" si="5"/>
        <v>8.5262052538567952E-3</v>
      </c>
    </row>
    <row r="116" spans="1:6" x14ac:dyDescent="0.35">
      <c r="A116" s="8">
        <v>45456</v>
      </c>
      <c r="B116" s="7">
        <v>2.3575382391009666E-3</v>
      </c>
      <c r="D116" s="6" t="str">
        <f t="shared" si="3"/>
        <v>06/13/2024</v>
      </c>
      <c r="E116" s="6" t="str">
        <f t="shared" si="4"/>
        <v>SPXT Index</v>
      </c>
      <c r="F116" s="5">
        <f t="shared" si="5"/>
        <v>2.3575382391009666E-3</v>
      </c>
    </row>
    <row r="117" spans="1:6" x14ac:dyDescent="0.35">
      <c r="A117" s="10">
        <v>45457</v>
      </c>
      <c r="B117" s="9">
        <v>-1.4779132203137906E-4</v>
      </c>
      <c r="D117" s="6" t="str">
        <f t="shared" si="3"/>
        <v>06/14/2024</v>
      </c>
      <c r="E117" s="6" t="str">
        <f t="shared" si="4"/>
        <v>SPXT Index</v>
      </c>
      <c r="F117" s="5">
        <f t="shared" si="5"/>
        <v>-1.4779132203137906E-4</v>
      </c>
    </row>
    <row r="118" spans="1:6" x14ac:dyDescent="0.35">
      <c r="A118" s="8">
        <v>45460</v>
      </c>
      <c r="B118" s="7">
        <v>7.7884869590776401E-3</v>
      </c>
      <c r="D118" s="6" t="str">
        <f t="shared" si="3"/>
        <v>06/17/2024</v>
      </c>
      <c r="E118" s="6" t="str">
        <f t="shared" si="4"/>
        <v>SPXT Index</v>
      </c>
      <c r="F118" s="5">
        <f t="shared" si="5"/>
        <v>7.7884869590776401E-3</v>
      </c>
    </row>
    <row r="119" spans="1:6" x14ac:dyDescent="0.35">
      <c r="A119" s="10">
        <v>45461</v>
      </c>
      <c r="B119" s="9">
        <v>2.552072333021614E-3</v>
      </c>
      <c r="D119" s="6" t="str">
        <f t="shared" si="3"/>
        <v>06/18/2024</v>
      </c>
      <c r="E119" s="6" t="str">
        <f t="shared" si="4"/>
        <v>SPXT Index</v>
      </c>
      <c r="F119" s="5">
        <f t="shared" si="5"/>
        <v>2.552072333021614E-3</v>
      </c>
    </row>
    <row r="120" spans="1:6" x14ac:dyDescent="0.35">
      <c r="A120" s="8">
        <v>45463</v>
      </c>
      <c r="B120" s="7">
        <v>-2.518824303436069E-3</v>
      </c>
      <c r="D120" s="6" t="str">
        <f t="shared" si="3"/>
        <v>06/20/2024</v>
      </c>
      <c r="E120" s="6" t="str">
        <f t="shared" si="4"/>
        <v>SPXT Index</v>
      </c>
      <c r="F120" s="5">
        <f t="shared" si="5"/>
        <v>-2.518824303436069E-3</v>
      </c>
    </row>
    <row r="121" spans="1:6" x14ac:dyDescent="0.35">
      <c r="A121" s="10">
        <v>45464</v>
      </c>
      <c r="B121" s="9">
        <v>-1.5102499203807152E-3</v>
      </c>
      <c r="D121" s="6" t="str">
        <f t="shared" si="3"/>
        <v>06/21/2024</v>
      </c>
      <c r="E121" s="6" t="str">
        <f t="shared" si="4"/>
        <v>SPXT Index</v>
      </c>
      <c r="F121" s="5">
        <f t="shared" si="5"/>
        <v>-1.5102499203807152E-3</v>
      </c>
    </row>
    <row r="122" spans="1:6" x14ac:dyDescent="0.35">
      <c r="A122" s="8">
        <v>45467</v>
      </c>
      <c r="B122" s="7">
        <v>-2.9998875252018904E-3</v>
      </c>
      <c r="D122" s="6" t="str">
        <f t="shared" si="3"/>
        <v>06/24/2024</v>
      </c>
      <c r="E122" s="6" t="str">
        <f t="shared" si="4"/>
        <v>SPXT Index</v>
      </c>
      <c r="F122" s="5">
        <f t="shared" si="5"/>
        <v>-2.9998875252018904E-3</v>
      </c>
    </row>
    <row r="123" spans="1:6" x14ac:dyDescent="0.35">
      <c r="A123" s="10">
        <v>45468</v>
      </c>
      <c r="B123" s="9">
        <v>3.9324669726654498E-3</v>
      </c>
      <c r="D123" s="6" t="str">
        <f t="shared" si="3"/>
        <v>06/25/2024</v>
      </c>
      <c r="E123" s="6" t="str">
        <f t="shared" si="4"/>
        <v>SPXT Index</v>
      </c>
      <c r="F123" s="5">
        <f t="shared" si="5"/>
        <v>3.9324669726654498E-3</v>
      </c>
    </row>
    <row r="124" spans="1:6" x14ac:dyDescent="0.35">
      <c r="A124" s="8">
        <v>45469</v>
      </c>
      <c r="B124" s="7">
        <v>1.5748757835594587E-3</v>
      </c>
      <c r="D124" s="6" t="str">
        <f t="shared" si="3"/>
        <v>06/26/2024</v>
      </c>
      <c r="E124" s="6" t="str">
        <f t="shared" si="4"/>
        <v>SPXT Index</v>
      </c>
      <c r="F124" s="5">
        <f t="shared" si="5"/>
        <v>1.5748757835594587E-3</v>
      </c>
    </row>
    <row r="125" spans="1:6" x14ac:dyDescent="0.35">
      <c r="A125" s="10">
        <v>45470</v>
      </c>
      <c r="B125" s="9">
        <v>9.1848892245419437E-4</v>
      </c>
      <c r="D125" s="6" t="str">
        <f t="shared" si="3"/>
        <v>06/27/2024</v>
      </c>
      <c r="E125" s="6" t="str">
        <f t="shared" si="4"/>
        <v>SPXT Index</v>
      </c>
      <c r="F125" s="5">
        <f t="shared" si="5"/>
        <v>9.1848892245419437E-4</v>
      </c>
    </row>
    <row r="126" spans="1:6" x14ac:dyDescent="0.35">
      <c r="A126" s="8">
        <v>45471</v>
      </c>
      <c r="B126" s="7">
        <v>-3.9608515621732702E-3</v>
      </c>
      <c r="D126" s="6" t="str">
        <f t="shared" si="3"/>
        <v>06/28/2024</v>
      </c>
      <c r="E126" s="6" t="str">
        <f t="shared" si="4"/>
        <v>SPXT Index</v>
      </c>
      <c r="F126" s="5">
        <f t="shared" si="5"/>
        <v>-3.9608515621732702E-3</v>
      </c>
    </row>
    <row r="127" spans="1:6" x14ac:dyDescent="0.35">
      <c r="A127" s="10">
        <v>45474</v>
      </c>
      <c r="B127" s="9">
        <v>2.7067770205296453E-3</v>
      </c>
      <c r="D127" s="6" t="str">
        <f t="shared" si="3"/>
        <v>07/01/2024</v>
      </c>
      <c r="E127" s="6" t="str">
        <f t="shared" si="4"/>
        <v>SPXT Index</v>
      </c>
      <c r="F127" s="5">
        <f t="shared" si="5"/>
        <v>2.7067770205296453E-3</v>
      </c>
    </row>
    <row r="128" spans="1:6" x14ac:dyDescent="0.35">
      <c r="A128" s="8">
        <v>45475</v>
      </c>
      <c r="B128" s="7">
        <v>6.1996519082230771E-3</v>
      </c>
      <c r="D128" s="6" t="str">
        <f t="shared" si="3"/>
        <v>07/02/2024</v>
      </c>
      <c r="E128" s="6" t="str">
        <f t="shared" si="4"/>
        <v>SPXT Index</v>
      </c>
      <c r="F128" s="5">
        <f t="shared" si="5"/>
        <v>6.1996519082230771E-3</v>
      </c>
    </row>
    <row r="129" spans="1:6" x14ac:dyDescent="0.35">
      <c r="A129" s="10">
        <v>45476</v>
      </c>
      <c r="B129" s="9">
        <v>5.1134566400852623E-3</v>
      </c>
      <c r="D129" s="6" t="str">
        <f t="shared" si="3"/>
        <v>07/03/2024</v>
      </c>
      <c r="E129" s="6" t="str">
        <f t="shared" si="4"/>
        <v>SPXT Index</v>
      </c>
      <c r="F129" s="5">
        <f t="shared" si="5"/>
        <v>5.1134566400852623E-3</v>
      </c>
    </row>
    <row r="130" spans="1:6" x14ac:dyDescent="0.35">
      <c r="A130" s="8">
        <v>45478</v>
      </c>
      <c r="B130" s="7">
        <v>5.6075323627745441E-3</v>
      </c>
      <c r="D130" s="6" t="str">
        <f t="shared" si="3"/>
        <v>07/05/2024</v>
      </c>
      <c r="E130" s="6" t="str">
        <f t="shared" si="4"/>
        <v>SPXT Index</v>
      </c>
      <c r="F130" s="5">
        <f t="shared" si="5"/>
        <v>5.6075323627745441E-3</v>
      </c>
    </row>
    <row r="131" spans="1:6" x14ac:dyDescent="0.35">
      <c r="A131" s="10">
        <v>45481</v>
      </c>
      <c r="B131" s="9">
        <v>1.0483803224036784E-3</v>
      </c>
      <c r="D131" s="6" t="str">
        <f t="shared" ref="D131:D194" si="6">IF(A131 =  "", "",  TEXT(A131, "mm/dd/yyyy"))</f>
        <v>07/08/2024</v>
      </c>
      <c r="E131" s="6" t="str">
        <f t="shared" ref="E131:E194" si="7">IF(A131="", "", EntityLocal)</f>
        <v>SPXT Index</v>
      </c>
      <c r="F131" s="5">
        <f t="shared" ref="F131:F194" si="8">IF(B131="","", B131)</f>
        <v>1.0483803224036784E-3</v>
      </c>
    </row>
    <row r="132" spans="1:6" x14ac:dyDescent="0.35">
      <c r="A132" s="8">
        <v>45482</v>
      </c>
      <c r="B132" s="7">
        <v>7.6510024047176848E-4</v>
      </c>
      <c r="D132" s="6" t="str">
        <f t="shared" si="6"/>
        <v>07/09/2024</v>
      </c>
      <c r="E132" s="6" t="str">
        <f t="shared" si="7"/>
        <v>SPXT Index</v>
      </c>
      <c r="F132" s="5">
        <f t="shared" si="8"/>
        <v>7.6510024047176848E-4</v>
      </c>
    </row>
    <row r="133" spans="1:6" x14ac:dyDescent="0.35">
      <c r="A133" s="10">
        <v>45483</v>
      </c>
      <c r="B133" s="9">
        <v>1.0328355215186351E-2</v>
      </c>
      <c r="D133" s="6" t="str">
        <f t="shared" si="6"/>
        <v>07/10/2024</v>
      </c>
      <c r="E133" s="6" t="str">
        <f t="shared" si="7"/>
        <v>SPXT Index</v>
      </c>
      <c r="F133" s="5">
        <f t="shared" si="8"/>
        <v>1.0328355215186351E-2</v>
      </c>
    </row>
    <row r="134" spans="1:6" x14ac:dyDescent="0.35">
      <c r="A134" s="8">
        <v>45484</v>
      </c>
      <c r="B134" s="7">
        <v>-8.725644232279171E-3</v>
      </c>
      <c r="D134" s="6" t="str">
        <f t="shared" si="6"/>
        <v>07/11/2024</v>
      </c>
      <c r="E134" s="6" t="str">
        <f t="shared" si="7"/>
        <v>SPXT Index</v>
      </c>
      <c r="F134" s="5">
        <f t="shared" si="8"/>
        <v>-8.725644232279171E-3</v>
      </c>
    </row>
    <row r="135" spans="1:6" x14ac:dyDescent="0.35">
      <c r="A135" s="10">
        <v>45485</v>
      </c>
      <c r="B135" s="9">
        <v>5.5175380059214766E-3</v>
      </c>
      <c r="D135" s="6" t="str">
        <f t="shared" si="6"/>
        <v>07/12/2024</v>
      </c>
      <c r="E135" s="6" t="str">
        <f t="shared" si="7"/>
        <v>SPXT Index</v>
      </c>
      <c r="F135" s="5">
        <f t="shared" si="8"/>
        <v>5.5175380059214766E-3</v>
      </c>
    </row>
    <row r="136" spans="1:6" x14ac:dyDescent="0.35">
      <c r="A136" s="8">
        <v>45488</v>
      </c>
      <c r="B136" s="7">
        <v>2.9273015357311818E-3</v>
      </c>
      <c r="D136" s="6" t="str">
        <f t="shared" si="6"/>
        <v>07/15/2024</v>
      </c>
      <c r="E136" s="6" t="str">
        <f t="shared" si="7"/>
        <v>SPXT Index</v>
      </c>
      <c r="F136" s="5">
        <f t="shared" si="8"/>
        <v>2.9273015357311818E-3</v>
      </c>
    </row>
    <row r="137" spans="1:6" x14ac:dyDescent="0.35">
      <c r="A137" s="10">
        <v>45489</v>
      </c>
      <c r="B137" s="9">
        <v>6.3901742219834882E-3</v>
      </c>
      <c r="D137" s="6" t="str">
        <f t="shared" si="6"/>
        <v>07/16/2024</v>
      </c>
      <c r="E137" s="6" t="str">
        <f t="shared" si="7"/>
        <v>SPXT Index</v>
      </c>
      <c r="F137" s="5">
        <f t="shared" si="8"/>
        <v>6.3901742219834882E-3</v>
      </c>
    </row>
    <row r="138" spans="1:6" x14ac:dyDescent="0.35">
      <c r="A138" s="8">
        <v>45490</v>
      </c>
      <c r="B138" s="7">
        <v>-1.3916386834630567E-2</v>
      </c>
      <c r="D138" s="6" t="str">
        <f t="shared" si="6"/>
        <v>07/17/2024</v>
      </c>
      <c r="E138" s="6" t="str">
        <f t="shared" si="7"/>
        <v>SPXT Index</v>
      </c>
      <c r="F138" s="5">
        <f t="shared" si="8"/>
        <v>-1.3916386834630567E-2</v>
      </c>
    </row>
    <row r="139" spans="1:6" x14ac:dyDescent="0.35">
      <c r="A139" s="10">
        <v>45491</v>
      </c>
      <c r="B139" s="9">
        <v>-7.8113658489775088E-3</v>
      </c>
      <c r="D139" s="6" t="str">
        <f t="shared" si="6"/>
        <v>07/18/2024</v>
      </c>
      <c r="E139" s="6" t="str">
        <f t="shared" si="7"/>
        <v>SPXT Index</v>
      </c>
      <c r="F139" s="5">
        <f t="shared" si="8"/>
        <v>-7.8113658489775088E-3</v>
      </c>
    </row>
    <row r="140" spans="1:6" x14ac:dyDescent="0.35">
      <c r="A140" s="8">
        <v>45492</v>
      </c>
      <c r="B140" s="7">
        <v>-7.0792948810679632E-3</v>
      </c>
      <c r="D140" s="6" t="str">
        <f t="shared" si="6"/>
        <v>07/19/2024</v>
      </c>
      <c r="E140" s="6" t="str">
        <f t="shared" si="7"/>
        <v>SPXT Index</v>
      </c>
      <c r="F140" s="5">
        <f t="shared" si="8"/>
        <v>-7.0792948810679632E-3</v>
      </c>
    </row>
    <row r="141" spans="1:6" x14ac:dyDescent="0.35">
      <c r="A141" s="10">
        <v>45495</v>
      </c>
      <c r="B141" s="9">
        <v>1.083451760421787E-2</v>
      </c>
      <c r="D141" s="6" t="str">
        <f t="shared" si="6"/>
        <v>07/22/2024</v>
      </c>
      <c r="E141" s="6" t="str">
        <f t="shared" si="7"/>
        <v>SPXT Index</v>
      </c>
      <c r="F141" s="5">
        <f t="shared" si="8"/>
        <v>1.083451760421787E-2</v>
      </c>
    </row>
    <row r="142" spans="1:6" x14ac:dyDescent="0.35">
      <c r="A142" s="8">
        <v>45496</v>
      </c>
      <c r="B142" s="7">
        <v>-1.5582597236806946E-3</v>
      </c>
      <c r="D142" s="6" t="str">
        <f t="shared" si="6"/>
        <v>07/23/2024</v>
      </c>
      <c r="E142" s="6" t="str">
        <f t="shared" si="7"/>
        <v>SPXT Index</v>
      </c>
      <c r="F142" s="5">
        <f t="shared" si="8"/>
        <v>-1.5582597236806946E-3</v>
      </c>
    </row>
    <row r="143" spans="1:6" x14ac:dyDescent="0.35">
      <c r="A143" s="10">
        <v>45497</v>
      </c>
      <c r="B143" s="9">
        <v>-2.3135686964182407E-2</v>
      </c>
      <c r="D143" s="6" t="str">
        <f t="shared" si="6"/>
        <v>07/24/2024</v>
      </c>
      <c r="E143" s="6" t="str">
        <f t="shared" si="7"/>
        <v>SPXT Index</v>
      </c>
      <c r="F143" s="5">
        <f t="shared" si="8"/>
        <v>-2.3135686964182407E-2</v>
      </c>
    </row>
    <row r="144" spans="1:6" x14ac:dyDescent="0.35">
      <c r="A144" s="8">
        <v>45498</v>
      </c>
      <c r="B144" s="7">
        <v>-5.1332673554934042E-3</v>
      </c>
      <c r="D144" s="6" t="str">
        <f t="shared" si="6"/>
        <v>07/25/2024</v>
      </c>
      <c r="E144" s="6" t="str">
        <f t="shared" si="7"/>
        <v>SPXT Index</v>
      </c>
      <c r="F144" s="5">
        <f t="shared" si="8"/>
        <v>-5.1332673554934042E-3</v>
      </c>
    </row>
    <row r="145" spans="1:6" x14ac:dyDescent="0.35">
      <c r="A145" s="10">
        <v>45499</v>
      </c>
      <c r="B145" s="9">
        <v>1.1158954197106257E-2</v>
      </c>
      <c r="D145" s="6" t="str">
        <f t="shared" si="6"/>
        <v>07/26/2024</v>
      </c>
      <c r="E145" s="6" t="str">
        <f t="shared" si="7"/>
        <v>SPXT Index</v>
      </c>
      <c r="F145" s="5">
        <f t="shared" si="8"/>
        <v>1.1158954197106257E-2</v>
      </c>
    </row>
    <row r="146" spans="1:6" x14ac:dyDescent="0.35">
      <c r="A146" s="8">
        <v>45502</v>
      </c>
      <c r="B146" s="7">
        <v>8.2682505892690231E-4</v>
      </c>
      <c r="D146" s="6" t="str">
        <f t="shared" si="6"/>
        <v>07/29/2024</v>
      </c>
      <c r="E146" s="6" t="str">
        <f t="shared" si="7"/>
        <v>SPXT Index</v>
      </c>
      <c r="F146" s="5">
        <f t="shared" si="8"/>
        <v>8.2682505892690231E-4</v>
      </c>
    </row>
    <row r="147" spans="1:6" x14ac:dyDescent="0.35">
      <c r="A147" s="10">
        <v>45503</v>
      </c>
      <c r="B147" s="9">
        <v>-4.9560131813679523E-3</v>
      </c>
      <c r="D147" s="6" t="str">
        <f t="shared" si="6"/>
        <v>07/30/2024</v>
      </c>
      <c r="E147" s="6" t="str">
        <f t="shared" si="7"/>
        <v>SPXT Index</v>
      </c>
      <c r="F147" s="5">
        <f t="shared" si="8"/>
        <v>-4.9560131813679523E-3</v>
      </c>
    </row>
    <row r="148" spans="1:6" x14ac:dyDescent="0.35">
      <c r="A148" s="8">
        <v>45504</v>
      </c>
      <c r="B148" s="7">
        <v>1.5870968829548786E-2</v>
      </c>
      <c r="D148" s="6" t="str">
        <f t="shared" si="6"/>
        <v>07/31/2024</v>
      </c>
      <c r="E148" s="6" t="str">
        <f t="shared" si="7"/>
        <v>SPXT Index</v>
      </c>
      <c r="F148" s="5">
        <f t="shared" si="8"/>
        <v>1.5870968829548786E-2</v>
      </c>
    </row>
    <row r="149" spans="1:6" x14ac:dyDescent="0.35">
      <c r="A149" s="10">
        <v>45505</v>
      </c>
      <c r="B149" s="9">
        <v>-1.3653233588531058E-2</v>
      </c>
      <c r="D149" s="6" t="str">
        <f t="shared" si="6"/>
        <v>08/01/2024</v>
      </c>
      <c r="E149" s="6" t="str">
        <f t="shared" si="7"/>
        <v>SPXT Index</v>
      </c>
      <c r="F149" s="5">
        <f t="shared" si="8"/>
        <v>-1.3653233588531058E-2</v>
      </c>
    </row>
    <row r="150" spans="1:6" x14ac:dyDescent="0.35">
      <c r="A150" s="8">
        <v>45506</v>
      </c>
      <c r="B150" s="7">
        <v>-1.8368813059724768E-2</v>
      </c>
      <c r="D150" s="6" t="str">
        <f t="shared" si="6"/>
        <v>08/02/2024</v>
      </c>
      <c r="E150" s="6" t="str">
        <f t="shared" si="7"/>
        <v>SPXT Index</v>
      </c>
      <c r="F150" s="5">
        <f t="shared" si="8"/>
        <v>-1.8368813059724768E-2</v>
      </c>
    </row>
    <row r="151" spans="1:6" x14ac:dyDescent="0.35">
      <c r="A151" s="10">
        <v>45509</v>
      </c>
      <c r="B151" s="9">
        <v>-2.9926695791820945E-2</v>
      </c>
      <c r="D151" s="6" t="str">
        <f t="shared" si="6"/>
        <v>08/05/2024</v>
      </c>
      <c r="E151" s="6" t="str">
        <f t="shared" si="7"/>
        <v>SPXT Index</v>
      </c>
      <c r="F151" s="5">
        <f t="shared" si="8"/>
        <v>-2.9926695791820945E-2</v>
      </c>
    </row>
    <row r="152" spans="1:6" x14ac:dyDescent="0.35">
      <c r="A152" s="8">
        <v>45510</v>
      </c>
      <c r="B152" s="7">
        <v>1.0367527800451644E-2</v>
      </c>
      <c r="D152" s="6" t="str">
        <f t="shared" si="6"/>
        <v>08/06/2024</v>
      </c>
      <c r="E152" s="6" t="str">
        <f t="shared" si="7"/>
        <v>SPXT Index</v>
      </c>
      <c r="F152" s="5">
        <f t="shared" si="8"/>
        <v>1.0367527800451644E-2</v>
      </c>
    </row>
    <row r="153" spans="1:6" x14ac:dyDescent="0.35">
      <c r="A153" s="10">
        <v>45511</v>
      </c>
      <c r="B153" s="9">
        <v>-7.7011048042723244E-3</v>
      </c>
      <c r="D153" s="6" t="str">
        <f t="shared" si="6"/>
        <v>08/07/2024</v>
      </c>
      <c r="E153" s="6" t="str">
        <f t="shared" si="7"/>
        <v>SPXT Index</v>
      </c>
      <c r="F153" s="5">
        <f t="shared" si="8"/>
        <v>-7.7011048042723244E-3</v>
      </c>
    </row>
    <row r="154" spans="1:6" x14ac:dyDescent="0.35">
      <c r="A154" s="8">
        <v>45512</v>
      </c>
      <c r="B154" s="7">
        <v>2.3050001586009318E-2</v>
      </c>
      <c r="D154" s="6" t="str">
        <f t="shared" si="6"/>
        <v>08/08/2024</v>
      </c>
      <c r="E154" s="6" t="str">
        <f t="shared" si="7"/>
        <v>SPXT Index</v>
      </c>
      <c r="F154" s="5">
        <f t="shared" si="8"/>
        <v>2.3050001586009318E-2</v>
      </c>
    </row>
    <row r="155" spans="1:6" x14ac:dyDescent="0.35">
      <c r="A155" s="10">
        <v>45513</v>
      </c>
      <c r="B155" s="9">
        <v>4.7929348780966436E-3</v>
      </c>
      <c r="D155" s="6" t="str">
        <f t="shared" si="6"/>
        <v>08/09/2024</v>
      </c>
      <c r="E155" s="6" t="str">
        <f t="shared" si="7"/>
        <v>SPXT Index</v>
      </c>
      <c r="F155" s="5">
        <f t="shared" si="8"/>
        <v>4.7929348780966436E-3</v>
      </c>
    </row>
    <row r="156" spans="1:6" x14ac:dyDescent="0.35">
      <c r="A156" s="8">
        <v>45516</v>
      </c>
      <c r="B156" s="7">
        <v>1.8000272575559266E-4</v>
      </c>
      <c r="D156" s="6" t="str">
        <f t="shared" si="6"/>
        <v>08/12/2024</v>
      </c>
      <c r="E156" s="6" t="str">
        <f t="shared" si="7"/>
        <v>SPXT Index</v>
      </c>
      <c r="F156" s="5">
        <f t="shared" si="8"/>
        <v>1.8000272575559266E-4</v>
      </c>
    </row>
    <row r="157" spans="1:6" x14ac:dyDescent="0.35">
      <c r="A157" s="10">
        <v>45517</v>
      </c>
      <c r="B157" s="9">
        <v>1.6857220966714978E-2</v>
      </c>
      <c r="D157" s="6" t="str">
        <f t="shared" si="6"/>
        <v>08/13/2024</v>
      </c>
      <c r="E157" s="6" t="str">
        <f t="shared" si="7"/>
        <v>SPXT Index</v>
      </c>
      <c r="F157" s="5">
        <f t="shared" si="8"/>
        <v>1.6857220966714978E-2</v>
      </c>
    </row>
    <row r="158" spans="1:6" x14ac:dyDescent="0.35">
      <c r="A158" s="8">
        <v>45518</v>
      </c>
      <c r="B158" s="7">
        <v>3.8540988041589849E-3</v>
      </c>
      <c r="D158" s="6" t="str">
        <f t="shared" si="6"/>
        <v>08/14/2024</v>
      </c>
      <c r="E158" s="6" t="str">
        <f t="shared" si="7"/>
        <v>SPXT Index</v>
      </c>
      <c r="F158" s="5">
        <f t="shared" si="8"/>
        <v>3.8540988041589849E-3</v>
      </c>
    </row>
    <row r="159" spans="1:6" x14ac:dyDescent="0.35">
      <c r="A159" s="10">
        <v>45519</v>
      </c>
      <c r="B159" s="9">
        <v>1.6426804757275183E-2</v>
      </c>
      <c r="D159" s="6" t="str">
        <f t="shared" si="6"/>
        <v>08/15/2024</v>
      </c>
      <c r="E159" s="6" t="str">
        <f t="shared" si="7"/>
        <v>SPXT Index</v>
      </c>
      <c r="F159" s="5">
        <f t="shared" si="8"/>
        <v>1.6426804757275183E-2</v>
      </c>
    </row>
    <row r="160" spans="1:6" x14ac:dyDescent="0.35">
      <c r="A160" s="8">
        <v>45520</v>
      </c>
      <c r="B160" s="7">
        <v>2.1310549217456206E-3</v>
      </c>
      <c r="D160" s="6" t="str">
        <f t="shared" si="6"/>
        <v>08/16/2024</v>
      </c>
      <c r="E160" s="6" t="str">
        <f t="shared" si="7"/>
        <v>SPXT Index</v>
      </c>
      <c r="F160" s="5">
        <f t="shared" si="8"/>
        <v>2.1310549217456206E-3</v>
      </c>
    </row>
    <row r="161" spans="1:6" x14ac:dyDescent="0.35">
      <c r="A161" s="10">
        <v>45523</v>
      </c>
      <c r="B161" s="9">
        <v>9.8298122065727887E-3</v>
      </c>
      <c r="D161" s="6" t="str">
        <f t="shared" si="6"/>
        <v>08/19/2024</v>
      </c>
      <c r="E161" s="6" t="str">
        <f t="shared" si="7"/>
        <v>SPXT Index</v>
      </c>
      <c r="F161" s="5">
        <f t="shared" si="8"/>
        <v>9.8298122065727887E-3</v>
      </c>
    </row>
    <row r="162" spans="1:6" x14ac:dyDescent="0.35">
      <c r="A162" s="8">
        <v>45524</v>
      </c>
      <c r="B162" s="7">
        <v>-1.9540081653708378E-3</v>
      </c>
      <c r="D162" s="6" t="str">
        <f t="shared" si="6"/>
        <v>08/20/2024</v>
      </c>
      <c r="E162" s="6" t="str">
        <f t="shared" si="7"/>
        <v>SPXT Index</v>
      </c>
      <c r="F162" s="5">
        <f t="shared" si="8"/>
        <v>-1.9540081653708378E-3</v>
      </c>
    </row>
    <row r="163" spans="1:6" x14ac:dyDescent="0.35">
      <c r="A163" s="10">
        <v>45525</v>
      </c>
      <c r="B163" s="9">
        <v>4.283681447194182E-3</v>
      </c>
      <c r="D163" s="6" t="str">
        <f t="shared" si="6"/>
        <v>08/21/2024</v>
      </c>
      <c r="E163" s="6" t="str">
        <f t="shared" si="7"/>
        <v>SPXT Index</v>
      </c>
      <c r="F163" s="5">
        <f t="shared" si="8"/>
        <v>4.283681447194182E-3</v>
      </c>
    </row>
    <row r="164" spans="1:6" x14ac:dyDescent="0.35">
      <c r="A164" s="8">
        <v>45526</v>
      </c>
      <c r="B164" s="7">
        <v>-8.9143644474267616E-3</v>
      </c>
      <c r="D164" s="6" t="str">
        <f t="shared" si="6"/>
        <v>08/22/2024</v>
      </c>
      <c r="E164" s="6" t="str">
        <f t="shared" si="7"/>
        <v>SPXT Index</v>
      </c>
      <c r="F164" s="5">
        <f t="shared" si="8"/>
        <v>-8.9143644474267616E-3</v>
      </c>
    </row>
    <row r="165" spans="1:6" x14ac:dyDescent="0.35">
      <c r="A165" s="10">
        <v>45527</v>
      </c>
      <c r="B165" s="9">
        <v>1.1496453370427862E-2</v>
      </c>
      <c r="D165" s="6" t="str">
        <f t="shared" si="6"/>
        <v>08/23/2024</v>
      </c>
      <c r="E165" s="6" t="str">
        <f t="shared" si="7"/>
        <v>SPXT Index</v>
      </c>
      <c r="F165" s="5">
        <f t="shared" si="8"/>
        <v>1.1496453370427862E-2</v>
      </c>
    </row>
    <row r="166" spans="1:6" x14ac:dyDescent="0.35">
      <c r="A166" s="8">
        <v>45530</v>
      </c>
      <c r="B166" s="7">
        <v>-3.1314400643995695E-3</v>
      </c>
      <c r="D166" s="6" t="str">
        <f t="shared" si="6"/>
        <v>08/26/2024</v>
      </c>
      <c r="E166" s="6" t="str">
        <f t="shared" si="7"/>
        <v>SPXT Index</v>
      </c>
      <c r="F166" s="5">
        <f t="shared" si="8"/>
        <v>-3.1314400643995695E-3</v>
      </c>
    </row>
    <row r="167" spans="1:6" x14ac:dyDescent="0.35">
      <c r="A167" s="10">
        <v>45531</v>
      </c>
      <c r="B167" s="9">
        <v>1.675347618333607E-3</v>
      </c>
      <c r="D167" s="6" t="str">
        <f t="shared" si="6"/>
        <v>08/27/2024</v>
      </c>
      <c r="E167" s="6" t="str">
        <f t="shared" si="7"/>
        <v>SPXT Index</v>
      </c>
      <c r="F167" s="5">
        <f t="shared" si="8"/>
        <v>1.675347618333607E-3</v>
      </c>
    </row>
    <row r="168" spans="1:6" x14ac:dyDescent="0.35">
      <c r="A168" s="8">
        <v>45532</v>
      </c>
      <c r="B168" s="7">
        <v>-5.9718660922307865E-3</v>
      </c>
      <c r="D168" s="6" t="str">
        <f t="shared" si="6"/>
        <v>08/28/2024</v>
      </c>
      <c r="E168" s="6" t="str">
        <f t="shared" si="7"/>
        <v>SPXT Index</v>
      </c>
      <c r="F168" s="5">
        <f t="shared" si="8"/>
        <v>-5.9718660922307865E-3</v>
      </c>
    </row>
    <row r="169" spans="1:6" x14ac:dyDescent="0.35">
      <c r="A169" s="10">
        <v>45533</v>
      </c>
      <c r="B169" s="9">
        <v>1.2275732595231959E-5</v>
      </c>
      <c r="D169" s="6" t="str">
        <f t="shared" si="6"/>
        <v>08/29/2024</v>
      </c>
      <c r="E169" s="6" t="str">
        <f t="shared" si="7"/>
        <v>SPXT Index</v>
      </c>
      <c r="F169" s="5">
        <f t="shared" si="8"/>
        <v>1.2275732595231959E-5</v>
      </c>
    </row>
    <row r="170" spans="1:6" x14ac:dyDescent="0.35">
      <c r="A170" s="8">
        <v>45534</v>
      </c>
      <c r="B170" s="7">
        <v>1.0233743446885284E-2</v>
      </c>
      <c r="D170" s="6" t="str">
        <f t="shared" si="6"/>
        <v>08/30/2024</v>
      </c>
      <c r="E170" s="6" t="str">
        <f t="shared" si="7"/>
        <v>SPXT Index</v>
      </c>
      <c r="F170" s="5">
        <f t="shared" si="8"/>
        <v>1.0233743446885284E-2</v>
      </c>
    </row>
    <row r="171" spans="1:6" x14ac:dyDescent="0.35">
      <c r="A171" s="10">
        <v>45538</v>
      </c>
      <c r="B171" s="9">
        <v>-2.1050789708394847E-2</v>
      </c>
      <c r="D171" s="6" t="str">
        <f t="shared" si="6"/>
        <v>09/03/2024</v>
      </c>
      <c r="E171" s="6" t="str">
        <f t="shared" si="7"/>
        <v>SPXT Index</v>
      </c>
      <c r="F171" s="5">
        <f t="shared" si="8"/>
        <v>-2.1050789708394847E-2</v>
      </c>
    </row>
    <row r="172" spans="1:6" x14ac:dyDescent="0.35">
      <c r="A172" s="8">
        <v>45539</v>
      </c>
      <c r="B172" s="7">
        <v>-1.5623228629565802E-3</v>
      </c>
      <c r="D172" s="6" t="str">
        <f t="shared" si="6"/>
        <v>09/04/2024</v>
      </c>
      <c r="E172" s="6" t="str">
        <f t="shared" si="7"/>
        <v>SPXT Index</v>
      </c>
      <c r="F172" s="5">
        <f t="shared" si="8"/>
        <v>-1.5623228629565802E-3</v>
      </c>
    </row>
    <row r="173" spans="1:6" x14ac:dyDescent="0.35">
      <c r="A173" s="10">
        <v>45540</v>
      </c>
      <c r="B173" s="9">
        <v>-2.9811805209649152E-3</v>
      </c>
      <c r="D173" s="6" t="str">
        <f t="shared" si="6"/>
        <v>09/05/2024</v>
      </c>
      <c r="E173" s="6" t="str">
        <f t="shared" si="7"/>
        <v>SPXT Index</v>
      </c>
      <c r="F173" s="5">
        <f t="shared" si="8"/>
        <v>-2.9811805209649152E-3</v>
      </c>
    </row>
    <row r="174" spans="1:6" x14ac:dyDescent="0.35">
      <c r="A174" s="8">
        <v>45541</v>
      </c>
      <c r="B174" s="7">
        <v>-1.7136724711797086E-2</v>
      </c>
      <c r="D174" s="6" t="str">
        <f t="shared" si="6"/>
        <v>09/06/2024</v>
      </c>
      <c r="E174" s="6" t="str">
        <f t="shared" si="7"/>
        <v>SPXT Index</v>
      </c>
      <c r="F174" s="5">
        <f t="shared" si="8"/>
        <v>-1.7136724711797086E-2</v>
      </c>
    </row>
    <row r="175" spans="1:6" x14ac:dyDescent="0.35">
      <c r="A175" s="10">
        <v>45544</v>
      </c>
      <c r="B175" s="9">
        <v>1.1685979784447513E-2</v>
      </c>
      <c r="D175" s="6" t="str">
        <f t="shared" si="6"/>
        <v>09/09/2024</v>
      </c>
      <c r="E175" s="6" t="str">
        <f t="shared" si="7"/>
        <v>SPXT Index</v>
      </c>
      <c r="F175" s="5">
        <f t="shared" si="8"/>
        <v>1.1685979784447513E-2</v>
      </c>
    </row>
    <row r="176" spans="1:6" x14ac:dyDescent="0.35">
      <c r="A176" s="8">
        <v>45545</v>
      </c>
      <c r="B176" s="7">
        <v>4.5001814117344077E-3</v>
      </c>
      <c r="D176" s="6" t="str">
        <f t="shared" si="6"/>
        <v>09/10/2024</v>
      </c>
      <c r="E176" s="6" t="str">
        <f t="shared" si="7"/>
        <v>SPXT Index</v>
      </c>
      <c r="F176" s="5">
        <f t="shared" si="8"/>
        <v>4.5001814117344077E-3</v>
      </c>
    </row>
    <row r="177" spans="1:6" x14ac:dyDescent="0.35">
      <c r="A177" s="10">
        <v>45546</v>
      </c>
      <c r="B177" s="9">
        <v>1.0676147698361432E-2</v>
      </c>
      <c r="D177" s="6" t="str">
        <f t="shared" si="6"/>
        <v>09/11/2024</v>
      </c>
      <c r="E177" s="6" t="str">
        <f t="shared" si="7"/>
        <v>SPXT Index</v>
      </c>
      <c r="F177" s="5">
        <f t="shared" si="8"/>
        <v>1.0676147698361432E-2</v>
      </c>
    </row>
    <row r="178" spans="1:6" x14ac:dyDescent="0.35">
      <c r="A178" s="8">
        <v>45547</v>
      </c>
      <c r="B178" s="7">
        <v>7.5107976465452987E-3</v>
      </c>
      <c r="D178" s="6" t="str">
        <f t="shared" si="6"/>
        <v>09/12/2024</v>
      </c>
      <c r="E178" s="6" t="str">
        <f t="shared" si="7"/>
        <v>SPXT Index</v>
      </c>
      <c r="F178" s="5">
        <f t="shared" si="8"/>
        <v>7.5107976465452987E-3</v>
      </c>
    </row>
    <row r="179" spans="1:6" x14ac:dyDescent="0.35">
      <c r="A179" s="10">
        <v>45548</v>
      </c>
      <c r="B179" s="9">
        <v>5.5741451206615033E-3</v>
      </c>
      <c r="D179" s="6" t="str">
        <f t="shared" si="6"/>
        <v>09/13/2024</v>
      </c>
      <c r="E179" s="6" t="str">
        <f t="shared" si="7"/>
        <v>SPXT Index</v>
      </c>
      <c r="F179" s="5">
        <f t="shared" si="8"/>
        <v>5.5741451206615033E-3</v>
      </c>
    </row>
    <row r="180" spans="1:6" x14ac:dyDescent="0.35">
      <c r="A180" s="8">
        <v>45551</v>
      </c>
      <c r="B180" s="7">
        <v>1.4589629090175213E-3</v>
      </c>
      <c r="D180" s="6" t="str">
        <f t="shared" si="6"/>
        <v>09/16/2024</v>
      </c>
      <c r="E180" s="6" t="str">
        <f t="shared" si="7"/>
        <v>SPXT Index</v>
      </c>
      <c r="F180" s="5">
        <f t="shared" si="8"/>
        <v>1.4589629090175213E-3</v>
      </c>
    </row>
    <row r="181" spans="1:6" x14ac:dyDescent="0.35">
      <c r="A181" s="10">
        <v>45552</v>
      </c>
      <c r="B181" s="9">
        <v>2.8730944444586799E-4</v>
      </c>
      <c r="D181" s="6" t="str">
        <f t="shared" si="6"/>
        <v>09/17/2024</v>
      </c>
      <c r="E181" s="6" t="str">
        <f t="shared" si="7"/>
        <v>SPXT Index</v>
      </c>
      <c r="F181" s="5">
        <f t="shared" si="8"/>
        <v>2.8730944444586799E-4</v>
      </c>
    </row>
    <row r="182" spans="1:6" x14ac:dyDescent="0.35">
      <c r="A182" s="8">
        <v>45553</v>
      </c>
      <c r="B182" s="7">
        <v>-2.8795715937442773E-3</v>
      </c>
      <c r="D182" s="6" t="str">
        <f t="shared" si="6"/>
        <v>09/18/2024</v>
      </c>
      <c r="E182" s="6" t="str">
        <f t="shared" si="7"/>
        <v>SPXT Index</v>
      </c>
      <c r="F182" s="5">
        <f t="shared" si="8"/>
        <v>-2.8795715937442773E-3</v>
      </c>
    </row>
    <row r="183" spans="1:6" x14ac:dyDescent="0.35">
      <c r="A183" s="10">
        <v>45554</v>
      </c>
      <c r="B183" s="9">
        <v>1.7033572403871343E-2</v>
      </c>
      <c r="D183" s="6" t="str">
        <f t="shared" si="6"/>
        <v>09/19/2024</v>
      </c>
      <c r="E183" s="6" t="str">
        <f t="shared" si="7"/>
        <v>SPXT Index</v>
      </c>
      <c r="F183" s="5">
        <f t="shared" si="8"/>
        <v>1.7033572403871343E-2</v>
      </c>
    </row>
    <row r="184" spans="1:6" x14ac:dyDescent="0.35">
      <c r="A184" s="8">
        <v>45555</v>
      </c>
      <c r="B184" s="7">
        <v>-1.932217954185203E-3</v>
      </c>
      <c r="D184" s="6" t="str">
        <f t="shared" si="6"/>
        <v>09/20/2024</v>
      </c>
      <c r="E184" s="6" t="str">
        <f t="shared" si="7"/>
        <v>SPXT Index</v>
      </c>
      <c r="F184" s="5">
        <f t="shared" si="8"/>
        <v>-1.932217954185203E-3</v>
      </c>
    </row>
    <row r="185" spans="1:6" x14ac:dyDescent="0.35">
      <c r="A185" s="10">
        <v>45558</v>
      </c>
      <c r="B185" s="9">
        <v>2.8193650376289493E-3</v>
      </c>
      <c r="D185" s="6" t="str">
        <f t="shared" si="6"/>
        <v>09/23/2024</v>
      </c>
      <c r="E185" s="6" t="str">
        <f t="shared" si="7"/>
        <v>SPXT Index</v>
      </c>
      <c r="F185" s="5">
        <f t="shared" si="8"/>
        <v>2.8193650376289493E-3</v>
      </c>
    </row>
    <row r="186" spans="1:6" x14ac:dyDescent="0.35">
      <c r="A186" s="8">
        <v>45559</v>
      </c>
      <c r="B186" s="7">
        <v>2.516465341445462E-3</v>
      </c>
      <c r="D186" s="6" t="str">
        <f t="shared" si="6"/>
        <v>09/24/2024</v>
      </c>
      <c r="E186" s="6" t="str">
        <f t="shared" si="7"/>
        <v>SPXT Index</v>
      </c>
      <c r="F186" s="5">
        <f t="shared" si="8"/>
        <v>2.516465341445462E-3</v>
      </c>
    </row>
    <row r="187" spans="1:6" x14ac:dyDescent="0.35">
      <c r="A187" s="10">
        <v>45560</v>
      </c>
      <c r="B187" s="9">
        <v>-1.8555005984328664E-3</v>
      </c>
      <c r="D187" s="6" t="str">
        <f t="shared" si="6"/>
        <v>09/25/2024</v>
      </c>
      <c r="E187" s="6" t="str">
        <f t="shared" si="7"/>
        <v>SPXT Index</v>
      </c>
      <c r="F187" s="5">
        <f t="shared" si="8"/>
        <v>-1.8555005984328664E-3</v>
      </c>
    </row>
    <row r="188" spans="1:6" x14ac:dyDescent="0.35">
      <c r="A188" s="8">
        <v>45561</v>
      </c>
      <c r="B188" s="7">
        <v>4.0989565275742499E-3</v>
      </c>
      <c r="D188" s="6" t="str">
        <f t="shared" si="6"/>
        <v>09/26/2024</v>
      </c>
      <c r="E188" s="6" t="str">
        <f t="shared" si="7"/>
        <v>SPXT Index</v>
      </c>
      <c r="F188" s="5">
        <f t="shared" si="8"/>
        <v>4.0989565275742499E-3</v>
      </c>
    </row>
    <row r="189" spans="1:6" x14ac:dyDescent="0.35">
      <c r="A189" s="10">
        <v>45562</v>
      </c>
      <c r="B189" s="9">
        <v>-1.2212460210053158E-3</v>
      </c>
      <c r="D189" s="6" t="str">
        <f t="shared" si="6"/>
        <v>09/27/2024</v>
      </c>
      <c r="E189" s="6" t="str">
        <f t="shared" si="7"/>
        <v>SPXT Index</v>
      </c>
      <c r="F189" s="5">
        <f t="shared" si="8"/>
        <v>-1.2212460210053158E-3</v>
      </c>
    </row>
    <row r="190" spans="1:6" x14ac:dyDescent="0.35">
      <c r="A190" s="8">
        <v>45565</v>
      </c>
      <c r="B190" s="7">
        <v>4.3245938673450585E-3</v>
      </c>
      <c r="D190" s="6" t="str">
        <f t="shared" si="6"/>
        <v>09/30/2024</v>
      </c>
      <c r="E190" s="6" t="str">
        <f t="shared" si="7"/>
        <v>SPXT Index</v>
      </c>
      <c r="F190" s="5">
        <f t="shared" si="8"/>
        <v>4.3245938673450585E-3</v>
      </c>
    </row>
    <row r="191" spans="1:6" x14ac:dyDescent="0.35">
      <c r="A191" s="10">
        <v>45566</v>
      </c>
      <c r="B191" s="9">
        <v>-9.2956336695464818E-3</v>
      </c>
      <c r="D191" s="6" t="str">
        <f t="shared" si="6"/>
        <v>10/01/2024</v>
      </c>
      <c r="E191" s="6" t="str">
        <f t="shared" si="7"/>
        <v>SPXT Index</v>
      </c>
      <c r="F191" s="5">
        <f t="shared" si="8"/>
        <v>-9.2956336695464818E-3</v>
      </c>
    </row>
    <row r="192" spans="1:6" x14ac:dyDescent="0.35">
      <c r="A192" s="8">
        <v>45567</v>
      </c>
      <c r="B192" s="7">
        <v>1.985450172805868E-4</v>
      </c>
      <c r="D192" s="6" t="str">
        <f t="shared" si="6"/>
        <v>10/02/2024</v>
      </c>
      <c r="E192" s="6" t="str">
        <f t="shared" si="7"/>
        <v>SPXT Index</v>
      </c>
      <c r="F192" s="5">
        <f t="shared" si="8"/>
        <v>1.985450172805868E-4</v>
      </c>
    </row>
    <row r="193" spans="1:6" x14ac:dyDescent="0.35">
      <c r="A193" s="10">
        <v>45568</v>
      </c>
      <c r="B193" s="9">
        <v>-1.677692532427327E-3</v>
      </c>
      <c r="D193" s="6" t="str">
        <f t="shared" si="6"/>
        <v>10/03/2024</v>
      </c>
      <c r="E193" s="6" t="str">
        <f t="shared" si="7"/>
        <v>SPXT Index</v>
      </c>
      <c r="F193" s="5">
        <f t="shared" si="8"/>
        <v>-1.677692532427327E-3</v>
      </c>
    </row>
    <row r="194" spans="1:6" x14ac:dyDescent="0.35">
      <c r="A194" s="8">
        <v>45569</v>
      </c>
      <c r="B194" s="7">
        <v>9.1818809386172533E-3</v>
      </c>
      <c r="D194" s="6" t="str">
        <f t="shared" si="6"/>
        <v>10/04/2024</v>
      </c>
      <c r="E194" s="6" t="str">
        <f t="shared" si="7"/>
        <v>SPXT Index</v>
      </c>
      <c r="F194" s="5">
        <f t="shared" si="8"/>
        <v>9.1818809386172533E-3</v>
      </c>
    </row>
    <row r="195" spans="1:6" x14ac:dyDescent="0.35">
      <c r="A195" s="10">
        <v>45572</v>
      </c>
      <c r="B195" s="9">
        <v>-9.5734378016526702E-3</v>
      </c>
      <c r="D195" s="6" t="str">
        <f t="shared" ref="D195:D258" si="9">IF(A195 =  "", "",  TEXT(A195, "mm/dd/yyyy"))</f>
        <v>10/07/2024</v>
      </c>
      <c r="E195" s="6" t="str">
        <f t="shared" ref="E195:E258" si="10">IF(A195="", "", EntityLocal)</f>
        <v>SPXT Index</v>
      </c>
      <c r="F195" s="5">
        <f t="shared" ref="F195:F258" si="11">IF(B195="","", B195)</f>
        <v>-9.5734378016526702E-3</v>
      </c>
    </row>
    <row r="196" spans="1:6" x14ac:dyDescent="0.35">
      <c r="A196" s="8">
        <v>45573</v>
      </c>
      <c r="B196" s="7">
        <v>9.6932476952065715E-3</v>
      </c>
      <c r="D196" s="6" t="str">
        <f t="shared" si="9"/>
        <v>10/08/2024</v>
      </c>
      <c r="E196" s="6" t="str">
        <f t="shared" si="10"/>
        <v>SPXT Index</v>
      </c>
      <c r="F196" s="5">
        <f t="shared" si="11"/>
        <v>9.6932476952065715E-3</v>
      </c>
    </row>
    <row r="197" spans="1:6" x14ac:dyDescent="0.35">
      <c r="A197" s="10">
        <v>45574</v>
      </c>
      <c r="B197" s="9">
        <v>7.1429422630042193E-3</v>
      </c>
      <c r="D197" s="6" t="str">
        <f t="shared" si="9"/>
        <v>10/09/2024</v>
      </c>
      <c r="E197" s="6" t="str">
        <f t="shared" si="10"/>
        <v>SPXT Index</v>
      </c>
      <c r="F197" s="5">
        <f t="shared" si="11"/>
        <v>7.1429422630042193E-3</v>
      </c>
    </row>
    <row r="198" spans="1:6" x14ac:dyDescent="0.35">
      <c r="A198" s="8">
        <v>45575</v>
      </c>
      <c r="B198" s="7">
        <v>-1.9184107481486159E-3</v>
      </c>
      <c r="D198" s="6" t="str">
        <f t="shared" si="9"/>
        <v>10/10/2024</v>
      </c>
      <c r="E198" s="6" t="str">
        <f t="shared" si="10"/>
        <v>SPXT Index</v>
      </c>
      <c r="F198" s="5">
        <f t="shared" si="11"/>
        <v>-1.9184107481486159E-3</v>
      </c>
    </row>
    <row r="199" spans="1:6" x14ac:dyDescent="0.35">
      <c r="A199" s="10">
        <v>45576</v>
      </c>
      <c r="B199" s="9">
        <v>6.0602995058817071E-3</v>
      </c>
      <c r="D199" s="6" t="str">
        <f t="shared" si="9"/>
        <v>10/11/2024</v>
      </c>
      <c r="E199" s="6" t="str">
        <f t="shared" si="10"/>
        <v>SPXT Index</v>
      </c>
      <c r="F199" s="5">
        <f t="shared" si="11"/>
        <v>6.0602995058817071E-3</v>
      </c>
    </row>
    <row r="200" spans="1:6" x14ac:dyDescent="0.35">
      <c r="A200" s="8">
        <v>45579</v>
      </c>
      <c r="B200" s="7">
        <v>7.7072819713546745E-3</v>
      </c>
      <c r="D200" s="6" t="str">
        <f t="shared" si="9"/>
        <v>10/14/2024</v>
      </c>
      <c r="E200" s="6" t="str">
        <f t="shared" si="10"/>
        <v>SPXT Index</v>
      </c>
      <c r="F200" s="5">
        <f t="shared" si="11"/>
        <v>7.7072819713546745E-3</v>
      </c>
    </row>
    <row r="201" spans="1:6" x14ac:dyDescent="0.35">
      <c r="A201" s="10">
        <v>45580</v>
      </c>
      <c r="B201" s="9">
        <v>-7.5251624813000408E-3</v>
      </c>
      <c r="D201" s="6" t="str">
        <f t="shared" si="9"/>
        <v>10/15/2024</v>
      </c>
      <c r="E201" s="6" t="str">
        <f t="shared" si="10"/>
        <v>SPXT Index</v>
      </c>
      <c r="F201" s="5">
        <f t="shared" si="11"/>
        <v>-7.5251624813000408E-3</v>
      </c>
    </row>
    <row r="202" spans="1:6" x14ac:dyDescent="0.35">
      <c r="A202" s="8">
        <v>45581</v>
      </c>
      <c r="B202" s="7">
        <v>4.6924460572927542E-3</v>
      </c>
      <c r="D202" s="6" t="str">
        <f t="shared" si="9"/>
        <v>10/16/2024</v>
      </c>
      <c r="E202" s="6" t="str">
        <f t="shared" si="10"/>
        <v>SPXT Index</v>
      </c>
      <c r="F202" s="5">
        <f t="shared" si="11"/>
        <v>4.6924460572927542E-3</v>
      </c>
    </row>
    <row r="203" spans="1:6" x14ac:dyDescent="0.35">
      <c r="A203" s="10">
        <v>45582</v>
      </c>
      <c r="B203" s="9">
        <v>-1.6105275337659534E-4</v>
      </c>
      <c r="D203" s="6" t="str">
        <f t="shared" si="9"/>
        <v>10/17/2024</v>
      </c>
      <c r="E203" s="6" t="str">
        <f t="shared" si="10"/>
        <v>SPXT Index</v>
      </c>
      <c r="F203" s="5">
        <f t="shared" si="11"/>
        <v>-1.6105275337659534E-4</v>
      </c>
    </row>
    <row r="204" spans="1:6" x14ac:dyDescent="0.35">
      <c r="A204" s="8">
        <v>45583</v>
      </c>
      <c r="B204" s="7">
        <v>4.0285312594319873E-3</v>
      </c>
      <c r="D204" s="6" t="str">
        <f t="shared" si="9"/>
        <v>10/18/2024</v>
      </c>
      <c r="E204" s="6" t="str">
        <f t="shared" si="10"/>
        <v>SPXT Index</v>
      </c>
      <c r="F204" s="5">
        <f t="shared" si="11"/>
        <v>4.0285312594319873E-3</v>
      </c>
    </row>
    <row r="205" spans="1:6" x14ac:dyDescent="0.35">
      <c r="A205" s="10">
        <v>45586</v>
      </c>
      <c r="B205" s="9">
        <v>-1.7842262252439473E-3</v>
      </c>
      <c r="D205" s="6" t="str">
        <f t="shared" si="9"/>
        <v>10/21/2024</v>
      </c>
      <c r="E205" s="6" t="str">
        <f t="shared" si="10"/>
        <v>SPXT Index</v>
      </c>
      <c r="F205" s="5">
        <f t="shared" si="11"/>
        <v>-1.7842262252439473E-3</v>
      </c>
    </row>
    <row r="206" spans="1:6" x14ac:dyDescent="0.35">
      <c r="A206" s="8">
        <v>45587</v>
      </c>
      <c r="B206" s="7">
        <v>-4.704545933297525E-4</v>
      </c>
      <c r="D206" s="6" t="str">
        <f t="shared" si="9"/>
        <v>10/22/2024</v>
      </c>
      <c r="E206" s="6" t="str">
        <f t="shared" si="10"/>
        <v>SPXT Index</v>
      </c>
      <c r="F206" s="5">
        <f t="shared" si="11"/>
        <v>-4.704545933297525E-4</v>
      </c>
    </row>
    <row r="207" spans="1:6" x14ac:dyDescent="0.35">
      <c r="A207" s="10">
        <v>45588</v>
      </c>
      <c r="B207" s="9">
        <v>-9.1746699803924702E-3</v>
      </c>
      <c r="D207" s="6" t="str">
        <f t="shared" si="9"/>
        <v>10/23/2024</v>
      </c>
      <c r="E207" s="6" t="str">
        <f t="shared" si="10"/>
        <v>SPXT Index</v>
      </c>
      <c r="F207" s="5">
        <f t="shared" si="11"/>
        <v>-9.1746699803924702E-3</v>
      </c>
    </row>
    <row r="208" spans="1:6" x14ac:dyDescent="0.35">
      <c r="A208" s="8">
        <v>45589</v>
      </c>
      <c r="B208" s="7">
        <v>2.1451383429101378E-3</v>
      </c>
      <c r="D208" s="6" t="str">
        <f t="shared" si="9"/>
        <v>10/24/2024</v>
      </c>
      <c r="E208" s="6" t="str">
        <f t="shared" si="10"/>
        <v>SPXT Index</v>
      </c>
      <c r="F208" s="5">
        <f t="shared" si="11"/>
        <v>2.1451383429101378E-3</v>
      </c>
    </row>
    <row r="209" spans="1:6" x14ac:dyDescent="0.35">
      <c r="A209" s="10">
        <v>45590</v>
      </c>
      <c r="B209" s="9">
        <v>-2.9164259239599933E-4</v>
      </c>
      <c r="D209" s="6" t="str">
        <f t="shared" si="9"/>
        <v>10/25/2024</v>
      </c>
      <c r="E209" s="6" t="str">
        <f t="shared" si="10"/>
        <v>SPXT Index</v>
      </c>
      <c r="F209" s="5">
        <f t="shared" si="11"/>
        <v>-2.9164259239599933E-4</v>
      </c>
    </row>
    <row r="210" spans="1:6" x14ac:dyDescent="0.35">
      <c r="A210" s="8">
        <v>45593</v>
      </c>
      <c r="B210" s="7">
        <v>2.664079123464435E-3</v>
      </c>
      <c r="D210" s="6" t="str">
        <f t="shared" si="9"/>
        <v>10/28/2024</v>
      </c>
      <c r="E210" s="6" t="str">
        <f t="shared" si="10"/>
        <v>SPXT Index</v>
      </c>
      <c r="F210" s="5">
        <f t="shared" si="11"/>
        <v>2.664079123464435E-3</v>
      </c>
    </row>
    <row r="211" spans="1:6" x14ac:dyDescent="0.35">
      <c r="A211" s="10">
        <v>45594</v>
      </c>
      <c r="B211" s="9">
        <v>1.6139632129317765E-3</v>
      </c>
      <c r="D211" s="6" t="str">
        <f t="shared" si="9"/>
        <v>10/29/2024</v>
      </c>
      <c r="E211" s="6" t="str">
        <f t="shared" si="10"/>
        <v>SPXT Index</v>
      </c>
      <c r="F211" s="5">
        <f t="shared" si="11"/>
        <v>1.6139632129317765E-3</v>
      </c>
    </row>
    <row r="212" spans="1:6" x14ac:dyDescent="0.35">
      <c r="A212" s="8">
        <v>45595</v>
      </c>
      <c r="B212" s="7">
        <v>-3.2939757904132316E-3</v>
      </c>
      <c r="D212" s="6" t="str">
        <f t="shared" si="9"/>
        <v>10/30/2024</v>
      </c>
      <c r="E212" s="6" t="str">
        <f t="shared" si="10"/>
        <v>SPXT Index</v>
      </c>
      <c r="F212" s="5">
        <f t="shared" si="11"/>
        <v>-3.2939757904132316E-3</v>
      </c>
    </row>
    <row r="213" spans="1:6" x14ac:dyDescent="0.35">
      <c r="A213" s="10">
        <v>45596</v>
      </c>
      <c r="B213" s="9">
        <v>-1.8538492175403546E-2</v>
      </c>
      <c r="D213" s="6" t="str">
        <f t="shared" si="9"/>
        <v>10/31/2024</v>
      </c>
      <c r="E213" s="6" t="str">
        <f t="shared" si="10"/>
        <v>SPXT Index</v>
      </c>
      <c r="F213" s="5">
        <f t="shared" si="11"/>
        <v>-1.8538492175403546E-2</v>
      </c>
    </row>
    <row r="214" spans="1:6" x14ac:dyDescent="0.35">
      <c r="A214" s="8">
        <v>45597</v>
      </c>
      <c r="B214" s="7">
        <v>4.1348707432682175E-3</v>
      </c>
      <c r="D214" s="6" t="str">
        <f t="shared" si="9"/>
        <v>11/01/2024</v>
      </c>
      <c r="E214" s="6" t="str">
        <f t="shared" si="10"/>
        <v>SPXT Index</v>
      </c>
      <c r="F214" s="5">
        <f t="shared" si="11"/>
        <v>4.1348707432682175E-3</v>
      </c>
    </row>
    <row r="215" spans="1:6" x14ac:dyDescent="0.35">
      <c r="A215" s="10">
        <v>45600</v>
      </c>
      <c r="B215" s="9">
        <v>-2.763562740127862E-3</v>
      </c>
      <c r="D215" s="6" t="str">
        <f t="shared" si="9"/>
        <v>11/04/2024</v>
      </c>
      <c r="E215" s="6" t="str">
        <f t="shared" si="10"/>
        <v>SPXT Index</v>
      </c>
      <c r="F215" s="5">
        <f t="shared" si="11"/>
        <v>-2.763562740127862E-3</v>
      </c>
    </row>
    <row r="216" spans="1:6" x14ac:dyDescent="0.35">
      <c r="A216" s="8">
        <v>45601</v>
      </c>
      <c r="B216" s="7">
        <v>1.2276661713585071E-2</v>
      </c>
      <c r="D216" s="6" t="str">
        <f t="shared" si="9"/>
        <v>11/05/2024</v>
      </c>
      <c r="E216" s="6" t="str">
        <f t="shared" si="10"/>
        <v>SPXT Index</v>
      </c>
      <c r="F216" s="5">
        <f t="shared" si="11"/>
        <v>1.2276661713585071E-2</v>
      </c>
    </row>
    <row r="217" spans="1:6" x14ac:dyDescent="0.35">
      <c r="A217" s="10">
        <v>45602</v>
      </c>
      <c r="B217" s="9">
        <v>2.5300213513240341E-2</v>
      </c>
      <c r="D217" s="6" t="str">
        <f t="shared" si="9"/>
        <v>11/06/2024</v>
      </c>
      <c r="E217" s="6" t="str">
        <f t="shared" si="10"/>
        <v>SPXT Index</v>
      </c>
      <c r="F217" s="5">
        <f t="shared" si="11"/>
        <v>2.5300213513240341E-2</v>
      </c>
    </row>
    <row r="218" spans="1:6" x14ac:dyDescent="0.35">
      <c r="A218" s="8">
        <v>45603</v>
      </c>
      <c r="B218" s="7">
        <v>7.4549104987166534E-3</v>
      </c>
      <c r="D218" s="6" t="str">
        <f t="shared" si="9"/>
        <v>11/07/2024</v>
      </c>
      <c r="E218" s="6" t="str">
        <f t="shared" si="10"/>
        <v>SPXT Index</v>
      </c>
      <c r="F218" s="5">
        <f t="shared" si="11"/>
        <v>7.4549104987166534E-3</v>
      </c>
    </row>
    <row r="219" spans="1:6" x14ac:dyDescent="0.35">
      <c r="A219" s="10">
        <v>45604</v>
      </c>
      <c r="B219" s="9">
        <v>3.9704835749334129E-3</v>
      </c>
      <c r="D219" s="6" t="str">
        <f t="shared" si="9"/>
        <v>11/08/2024</v>
      </c>
      <c r="E219" s="6" t="str">
        <f t="shared" si="10"/>
        <v>SPXT Index</v>
      </c>
      <c r="F219" s="5">
        <f t="shared" si="11"/>
        <v>3.9704835749334129E-3</v>
      </c>
    </row>
    <row r="220" spans="1:6" x14ac:dyDescent="0.35">
      <c r="A220" s="8">
        <v>45607</v>
      </c>
      <c r="B220" s="7">
        <v>9.6927925369315066E-4</v>
      </c>
      <c r="D220" s="6" t="str">
        <f t="shared" si="9"/>
        <v>11/11/2024</v>
      </c>
      <c r="E220" s="6" t="str">
        <f t="shared" si="10"/>
        <v>SPXT Index</v>
      </c>
      <c r="F220" s="5">
        <f t="shared" si="11"/>
        <v>9.6927925369315066E-4</v>
      </c>
    </row>
    <row r="221" spans="1:6" x14ac:dyDescent="0.35">
      <c r="A221" s="10">
        <v>45608</v>
      </c>
      <c r="B221" s="9">
        <v>-2.8335184311816344E-3</v>
      </c>
      <c r="D221" s="6" t="str">
        <f t="shared" si="9"/>
        <v>11/12/2024</v>
      </c>
      <c r="E221" s="6" t="str">
        <f t="shared" si="10"/>
        <v>SPXT Index</v>
      </c>
      <c r="F221" s="5">
        <f t="shared" si="11"/>
        <v>-2.8335184311816344E-3</v>
      </c>
    </row>
    <row r="222" spans="1:6" x14ac:dyDescent="0.35">
      <c r="A222" s="8">
        <v>45609</v>
      </c>
      <c r="B222" s="7">
        <v>2.7614721240061036E-4</v>
      </c>
      <c r="D222" s="6" t="str">
        <f t="shared" si="9"/>
        <v>11/13/2024</v>
      </c>
      <c r="E222" s="6" t="str">
        <f t="shared" si="10"/>
        <v>SPXT Index</v>
      </c>
      <c r="F222" s="5">
        <f t="shared" si="11"/>
        <v>2.7614721240061036E-4</v>
      </c>
    </row>
    <row r="223" spans="1:6" x14ac:dyDescent="0.35">
      <c r="A223" s="10">
        <v>45610</v>
      </c>
      <c r="B223" s="9">
        <v>-5.9317128526291066E-3</v>
      </c>
      <c r="D223" s="6" t="str">
        <f t="shared" si="9"/>
        <v>11/14/2024</v>
      </c>
      <c r="E223" s="6" t="str">
        <f t="shared" si="10"/>
        <v>SPXT Index</v>
      </c>
      <c r="F223" s="5">
        <f t="shared" si="11"/>
        <v>-5.9317128526291066E-3</v>
      </c>
    </row>
    <row r="224" spans="1:6" x14ac:dyDescent="0.35">
      <c r="A224" s="8">
        <v>45611</v>
      </c>
      <c r="B224" s="7">
        <v>-1.307040619756826E-2</v>
      </c>
      <c r="D224" s="6" t="str">
        <f t="shared" si="9"/>
        <v>11/15/2024</v>
      </c>
      <c r="E224" s="6" t="str">
        <f t="shared" si="10"/>
        <v>SPXT Index</v>
      </c>
      <c r="F224" s="5">
        <f t="shared" si="11"/>
        <v>-1.307040619756826E-2</v>
      </c>
    </row>
    <row r="225" spans="1:6" x14ac:dyDescent="0.35">
      <c r="A225" s="10">
        <v>45614</v>
      </c>
      <c r="B225" s="9">
        <v>4.0716954203919957E-3</v>
      </c>
      <c r="D225" s="6" t="str">
        <f t="shared" si="9"/>
        <v>11/18/2024</v>
      </c>
      <c r="E225" s="6" t="str">
        <f t="shared" si="10"/>
        <v>SPXT Index</v>
      </c>
      <c r="F225" s="5">
        <f t="shared" si="11"/>
        <v>4.0716954203919957E-3</v>
      </c>
    </row>
    <row r="226" spans="1:6" x14ac:dyDescent="0.35">
      <c r="A226" s="8">
        <v>45615</v>
      </c>
      <c r="B226" s="7">
        <v>3.9762170196953259E-3</v>
      </c>
      <c r="D226" s="6" t="str">
        <f t="shared" si="9"/>
        <v>11/19/2024</v>
      </c>
      <c r="E226" s="6" t="str">
        <f t="shared" si="10"/>
        <v>SPXT Index</v>
      </c>
      <c r="F226" s="5">
        <f t="shared" si="11"/>
        <v>3.9762170196953259E-3</v>
      </c>
    </row>
    <row r="227" spans="1:6" x14ac:dyDescent="0.35">
      <c r="A227" s="10">
        <v>45616</v>
      </c>
      <c r="B227" s="9">
        <v>5.3207239886036986E-5</v>
      </c>
      <c r="D227" s="6" t="str">
        <f t="shared" si="9"/>
        <v>11/20/2024</v>
      </c>
      <c r="E227" s="6" t="str">
        <f t="shared" si="10"/>
        <v>SPXT Index</v>
      </c>
      <c r="F227" s="5">
        <f t="shared" si="11"/>
        <v>5.3207239886036986E-5</v>
      </c>
    </row>
    <row r="228" spans="1:6" x14ac:dyDescent="0.35">
      <c r="A228" s="8">
        <v>45617</v>
      </c>
      <c r="B228" s="7">
        <v>5.4923913839700182E-3</v>
      </c>
      <c r="D228" s="6" t="str">
        <f t="shared" si="9"/>
        <v>11/21/2024</v>
      </c>
      <c r="E228" s="6" t="str">
        <f t="shared" si="10"/>
        <v>SPXT Index</v>
      </c>
      <c r="F228" s="5">
        <f t="shared" si="11"/>
        <v>5.4923913839700182E-3</v>
      </c>
    </row>
    <row r="229" spans="1:6" x14ac:dyDescent="0.35">
      <c r="A229" s="10">
        <v>45618</v>
      </c>
      <c r="B229" s="9">
        <v>3.5107146581923312E-3</v>
      </c>
      <c r="D229" s="6" t="str">
        <f t="shared" si="9"/>
        <v>11/22/2024</v>
      </c>
      <c r="E229" s="6" t="str">
        <f t="shared" si="10"/>
        <v>SPXT Index</v>
      </c>
      <c r="F229" s="5">
        <f t="shared" si="11"/>
        <v>3.5107146581923312E-3</v>
      </c>
    </row>
    <row r="230" spans="1:6" x14ac:dyDescent="0.35">
      <c r="A230" s="8">
        <v>45621</v>
      </c>
      <c r="B230" s="7">
        <v>3.0261671758675811E-3</v>
      </c>
      <c r="D230" s="6" t="str">
        <f t="shared" si="9"/>
        <v>11/25/2024</v>
      </c>
      <c r="E230" s="6" t="str">
        <f t="shared" si="10"/>
        <v>SPXT Index</v>
      </c>
      <c r="F230" s="5">
        <f t="shared" si="11"/>
        <v>3.0261671758675811E-3</v>
      </c>
    </row>
    <row r="231" spans="1:6" x14ac:dyDescent="0.35">
      <c r="A231" s="10">
        <v>45622</v>
      </c>
      <c r="B231" s="9">
        <v>5.7910351332448708E-3</v>
      </c>
      <c r="D231" s="6" t="str">
        <f t="shared" si="9"/>
        <v>11/26/2024</v>
      </c>
      <c r="E231" s="6" t="str">
        <f t="shared" si="10"/>
        <v>SPXT Index</v>
      </c>
      <c r="F231" s="5">
        <f t="shared" si="11"/>
        <v>5.7910351332448708E-3</v>
      </c>
    </row>
    <row r="232" spans="1:6" x14ac:dyDescent="0.35">
      <c r="A232" s="8">
        <v>45623</v>
      </c>
      <c r="B232" s="7">
        <v>-3.7412500274590192E-3</v>
      </c>
      <c r="D232" s="6" t="str">
        <f t="shared" si="9"/>
        <v>11/27/2024</v>
      </c>
      <c r="E232" s="6" t="str">
        <f t="shared" si="10"/>
        <v>SPXT Index</v>
      </c>
      <c r="F232" s="5">
        <f t="shared" si="11"/>
        <v>-3.7412500274590192E-3</v>
      </c>
    </row>
    <row r="233" spans="1:6" x14ac:dyDescent="0.35">
      <c r="A233" s="10">
        <v>45625</v>
      </c>
      <c r="B233" s="9">
        <v>5.7063217377022702E-3</v>
      </c>
      <c r="D233" s="6" t="str">
        <f t="shared" si="9"/>
        <v>11/29/2024</v>
      </c>
      <c r="E233" s="6" t="str">
        <f t="shared" si="10"/>
        <v>SPXT Index</v>
      </c>
      <c r="F233" s="5">
        <f t="shared" si="11"/>
        <v>5.7063217377022702E-3</v>
      </c>
    </row>
    <row r="234" spans="1:6" x14ac:dyDescent="0.35">
      <c r="A234" s="8">
        <v>45628</v>
      </c>
      <c r="B234" s="7">
        <v>2.5666943622691184E-3</v>
      </c>
      <c r="D234" s="6" t="str">
        <f t="shared" si="9"/>
        <v>12/02/2024</v>
      </c>
      <c r="E234" s="6" t="str">
        <f t="shared" si="10"/>
        <v>SPXT Index</v>
      </c>
      <c r="F234" s="5">
        <f t="shared" si="11"/>
        <v>2.5666943622691184E-3</v>
      </c>
    </row>
    <row r="235" spans="1:6" x14ac:dyDescent="0.35">
      <c r="A235" s="10">
        <v>45629</v>
      </c>
      <c r="B235" s="9">
        <v>4.7130399635625462E-4</v>
      </c>
      <c r="D235" s="6" t="str">
        <f t="shared" si="9"/>
        <v>12/03/2024</v>
      </c>
      <c r="E235" s="6" t="str">
        <f t="shared" si="10"/>
        <v>SPXT Index</v>
      </c>
      <c r="F235" s="5">
        <f t="shared" si="11"/>
        <v>4.7130399635625462E-4</v>
      </c>
    </row>
    <row r="236" spans="1:6" x14ac:dyDescent="0.35">
      <c r="A236" s="8">
        <v>45630</v>
      </c>
      <c r="B236" s="7">
        <v>6.0713044749772021E-3</v>
      </c>
      <c r="D236" s="6" t="str">
        <f t="shared" si="9"/>
        <v>12/04/2024</v>
      </c>
      <c r="E236" s="6" t="str">
        <f t="shared" si="10"/>
        <v>SPXT Index</v>
      </c>
      <c r="F236" s="5">
        <f t="shared" si="11"/>
        <v>6.0713044749772021E-3</v>
      </c>
    </row>
    <row r="237" spans="1:6" x14ac:dyDescent="0.35">
      <c r="A237" s="10">
        <v>45631</v>
      </c>
      <c r="B237" s="9">
        <v>-1.8085268971551602E-3</v>
      </c>
      <c r="D237" s="6" t="str">
        <f t="shared" si="9"/>
        <v>12/05/2024</v>
      </c>
      <c r="E237" s="6" t="str">
        <f t="shared" si="10"/>
        <v>SPXT Index</v>
      </c>
      <c r="F237" s="5">
        <f t="shared" si="11"/>
        <v>-1.8085268971551602E-3</v>
      </c>
    </row>
    <row r="238" spans="1:6" x14ac:dyDescent="0.35">
      <c r="A238" s="8">
        <v>45632</v>
      </c>
      <c r="B238" s="7">
        <v>2.6088770870641592E-3</v>
      </c>
      <c r="D238" s="6" t="str">
        <f t="shared" si="9"/>
        <v>12/06/2024</v>
      </c>
      <c r="E238" s="6" t="str">
        <f t="shared" si="10"/>
        <v>SPXT Index</v>
      </c>
      <c r="F238" s="5">
        <f t="shared" si="11"/>
        <v>2.6088770870641592E-3</v>
      </c>
    </row>
    <row r="239" spans="1:6" x14ac:dyDescent="0.35">
      <c r="A239" s="10">
        <v>45635</v>
      </c>
      <c r="B239" s="9">
        <v>-6.0044166635474898E-3</v>
      </c>
      <c r="D239" s="6" t="str">
        <f t="shared" si="9"/>
        <v>12/09/2024</v>
      </c>
      <c r="E239" s="6" t="str">
        <f t="shared" si="10"/>
        <v>SPXT Index</v>
      </c>
      <c r="F239" s="5">
        <f t="shared" si="11"/>
        <v>-6.0044166635474898E-3</v>
      </c>
    </row>
    <row r="240" spans="1:6" x14ac:dyDescent="0.35">
      <c r="A240" s="8">
        <v>45636</v>
      </c>
      <c r="B240" s="7">
        <v>-2.9431500592321559E-3</v>
      </c>
      <c r="D240" s="6" t="str">
        <f t="shared" si="9"/>
        <v>12/10/2024</v>
      </c>
      <c r="E240" s="6" t="str">
        <f t="shared" si="10"/>
        <v>SPXT Index</v>
      </c>
      <c r="F240" s="5">
        <f t="shared" si="11"/>
        <v>-2.9431500592321559E-3</v>
      </c>
    </row>
    <row r="241" spans="1:6" x14ac:dyDescent="0.35">
      <c r="A241" s="10">
        <v>45637</v>
      </c>
      <c r="B241" s="9">
        <v>8.1802464044305589E-3</v>
      </c>
      <c r="D241" s="6" t="str">
        <f t="shared" si="9"/>
        <v>12/11/2024</v>
      </c>
      <c r="E241" s="6" t="str">
        <f t="shared" si="10"/>
        <v>SPXT Index</v>
      </c>
      <c r="F241" s="5">
        <f t="shared" si="11"/>
        <v>8.1802464044305589E-3</v>
      </c>
    </row>
    <row r="242" spans="1:6" x14ac:dyDescent="0.35">
      <c r="A242" s="8">
        <v>45638</v>
      </c>
      <c r="B242" s="7">
        <v>-5.4144930402749607E-3</v>
      </c>
      <c r="D242" s="6" t="str">
        <f t="shared" si="9"/>
        <v>12/12/2024</v>
      </c>
      <c r="E242" s="6" t="str">
        <f t="shared" si="10"/>
        <v>SPXT Index</v>
      </c>
      <c r="F242" s="5">
        <f t="shared" si="11"/>
        <v>-5.4144930402749607E-3</v>
      </c>
    </row>
    <row r="243" spans="1:6" x14ac:dyDescent="0.35">
      <c r="A243" s="10">
        <v>45639</v>
      </c>
      <c r="B243" s="9">
        <v>9.943323058563981E-5</v>
      </c>
      <c r="D243" s="6" t="str">
        <f t="shared" si="9"/>
        <v>12/13/2024</v>
      </c>
      <c r="E243" s="6" t="str">
        <f t="shared" si="10"/>
        <v>SPXT Index</v>
      </c>
      <c r="F243" s="5">
        <f t="shared" si="11"/>
        <v>9.943323058563981E-5</v>
      </c>
    </row>
    <row r="244" spans="1:6" x14ac:dyDescent="0.35">
      <c r="A244" s="8">
        <v>45642</v>
      </c>
      <c r="B244" s="7">
        <v>3.9332477690004917E-3</v>
      </c>
      <c r="D244" s="6" t="str">
        <f t="shared" si="9"/>
        <v>12/16/2024</v>
      </c>
      <c r="E244" s="6" t="str">
        <f t="shared" si="10"/>
        <v>SPXT Index</v>
      </c>
      <c r="F244" s="5">
        <f t="shared" si="11"/>
        <v>3.9332477690004917E-3</v>
      </c>
    </row>
    <row r="245" spans="1:6" x14ac:dyDescent="0.35">
      <c r="A245" s="10">
        <v>45643</v>
      </c>
      <c r="B245" s="9">
        <v>-3.8435625766200195E-3</v>
      </c>
      <c r="D245" s="6" t="str">
        <f t="shared" si="9"/>
        <v>12/17/2024</v>
      </c>
      <c r="E245" s="6" t="str">
        <f t="shared" si="10"/>
        <v>SPXT Index</v>
      </c>
      <c r="F245" s="5">
        <f t="shared" si="11"/>
        <v>-3.8435625766200195E-3</v>
      </c>
    </row>
    <row r="246" spans="1:6" x14ac:dyDescent="0.35">
      <c r="A246" s="8">
        <v>45644</v>
      </c>
      <c r="B246" s="7">
        <v>-2.9473811057009778E-2</v>
      </c>
      <c r="D246" s="6" t="str">
        <f t="shared" si="9"/>
        <v>12/18/2024</v>
      </c>
      <c r="E246" s="6" t="str">
        <f t="shared" si="10"/>
        <v>SPXT Index</v>
      </c>
      <c r="F246" s="5">
        <f t="shared" si="11"/>
        <v>-2.9473811057009778E-2</v>
      </c>
    </row>
    <row r="247" spans="1:6" x14ac:dyDescent="0.35">
      <c r="A247" s="10">
        <v>45645</v>
      </c>
      <c r="B247" s="9">
        <v>-8.6293797788480734E-4</v>
      </c>
      <c r="D247" s="6" t="str">
        <f t="shared" si="9"/>
        <v>12/19/2024</v>
      </c>
      <c r="E247" s="6" t="str">
        <f t="shared" si="10"/>
        <v>SPXT Index</v>
      </c>
      <c r="F247" s="5">
        <f t="shared" si="11"/>
        <v>-8.6293797788480734E-4</v>
      </c>
    </row>
    <row r="248" spans="1:6" x14ac:dyDescent="0.35">
      <c r="A248" s="8">
        <v>45646</v>
      </c>
      <c r="B248" s="7">
        <v>1.0917981932553458E-2</v>
      </c>
      <c r="D248" s="6" t="str">
        <f t="shared" si="9"/>
        <v>12/20/2024</v>
      </c>
      <c r="E248" s="6" t="str">
        <f t="shared" si="10"/>
        <v>SPXT Index</v>
      </c>
      <c r="F248" s="5">
        <f t="shared" si="11"/>
        <v>1.0917981932553458E-2</v>
      </c>
    </row>
    <row r="249" spans="1:6" x14ac:dyDescent="0.35">
      <c r="A249" s="10">
        <v>45649</v>
      </c>
      <c r="B249" s="9">
        <v>7.3480714769746163E-3</v>
      </c>
      <c r="D249" s="6" t="str">
        <f t="shared" si="9"/>
        <v>12/23/2024</v>
      </c>
      <c r="E249" s="6" t="str">
        <f t="shared" si="10"/>
        <v>SPXT Index</v>
      </c>
      <c r="F249" s="5">
        <f t="shared" si="11"/>
        <v>7.3480714769746163E-3</v>
      </c>
    </row>
    <row r="250" spans="1:6" x14ac:dyDescent="0.35">
      <c r="A250" s="8">
        <v>45650</v>
      </c>
      <c r="B250" s="7">
        <v>1.1041620586822088E-2</v>
      </c>
      <c r="D250" s="6" t="str">
        <f t="shared" si="9"/>
        <v>12/24/2024</v>
      </c>
      <c r="E250" s="6" t="str">
        <f t="shared" si="10"/>
        <v>SPXT Index</v>
      </c>
      <c r="F250" s="5">
        <f t="shared" si="11"/>
        <v>1.1041620586822088E-2</v>
      </c>
    </row>
    <row r="251" spans="1:6" x14ac:dyDescent="0.35">
      <c r="A251" s="10">
        <v>45652</v>
      </c>
      <c r="B251" s="9">
        <v>-3.2513407065589507E-4</v>
      </c>
      <c r="D251" s="6" t="str">
        <f t="shared" si="9"/>
        <v>12/26/2024</v>
      </c>
      <c r="E251" s="6" t="str">
        <f t="shared" si="10"/>
        <v>SPXT Index</v>
      </c>
      <c r="F251" s="5">
        <f t="shared" si="11"/>
        <v>-3.2513407065589507E-4</v>
      </c>
    </row>
    <row r="252" spans="1:6" x14ac:dyDescent="0.35">
      <c r="A252" s="8">
        <v>45653</v>
      </c>
      <c r="B252" s="7">
        <v>-1.0969863625661861E-2</v>
      </c>
      <c r="D252" s="6" t="str">
        <f t="shared" si="9"/>
        <v>12/27/2024</v>
      </c>
      <c r="E252" s="6" t="str">
        <f t="shared" si="10"/>
        <v>SPXT Index</v>
      </c>
      <c r="F252" s="5">
        <f t="shared" si="11"/>
        <v>-1.0969863625661861E-2</v>
      </c>
    </row>
    <row r="253" spans="1:6" x14ac:dyDescent="0.35">
      <c r="A253" s="10">
        <v>45656</v>
      </c>
      <c r="B253" s="9">
        <v>-1.0694783231690808E-2</v>
      </c>
      <c r="D253" s="6" t="str">
        <f t="shared" si="9"/>
        <v>12/30/2024</v>
      </c>
      <c r="E253" s="6" t="str">
        <f t="shared" si="10"/>
        <v>SPXT Index</v>
      </c>
      <c r="F253" s="5">
        <f t="shared" si="11"/>
        <v>-1.0694783231690808E-2</v>
      </c>
    </row>
    <row r="254" spans="1:6" x14ac:dyDescent="0.35">
      <c r="A254" s="8">
        <v>45657</v>
      </c>
      <c r="B254" s="7">
        <v>-4.1955172748881046E-3</v>
      </c>
      <c r="D254" s="6" t="str">
        <f t="shared" si="9"/>
        <v>12/31/2024</v>
      </c>
      <c r="E254" s="6" t="str">
        <f t="shared" si="10"/>
        <v>SPXT Index</v>
      </c>
      <c r="F254" s="5">
        <f t="shared" si="11"/>
        <v>-4.1955172748881046E-3</v>
      </c>
    </row>
    <row r="255" spans="1:6" x14ac:dyDescent="0.35">
      <c r="A255" s="10">
        <v>45659</v>
      </c>
      <c r="B255" s="9">
        <v>-2.187143253236165E-3</v>
      </c>
      <c r="D255" s="6" t="str">
        <f t="shared" si="9"/>
        <v>01/02/2025</v>
      </c>
      <c r="E255" s="6" t="str">
        <f t="shared" si="10"/>
        <v>SPXT Index</v>
      </c>
      <c r="F255" s="5">
        <f t="shared" si="11"/>
        <v>-2.187143253236165E-3</v>
      </c>
    </row>
    <row r="256" spans="1:6" x14ac:dyDescent="0.35">
      <c r="A256" s="8">
        <v>45660</v>
      </c>
      <c r="B256" s="7">
        <v>1.267504839493365E-2</v>
      </c>
      <c r="D256" s="6" t="str">
        <f t="shared" si="9"/>
        <v>01/03/2025</v>
      </c>
      <c r="E256" s="6" t="str">
        <f t="shared" si="10"/>
        <v>SPXT Index</v>
      </c>
      <c r="F256" s="5">
        <f t="shared" si="11"/>
        <v>1.267504839493365E-2</v>
      </c>
    </row>
    <row r="257" spans="1:6" x14ac:dyDescent="0.35">
      <c r="A257" s="10">
        <v>45663</v>
      </c>
      <c r="B257" s="9">
        <v>5.6151355726426723E-3</v>
      </c>
      <c r="D257" s="6" t="str">
        <f t="shared" si="9"/>
        <v>01/06/2025</v>
      </c>
      <c r="E257" s="6" t="str">
        <f t="shared" si="10"/>
        <v>SPXT Index</v>
      </c>
      <c r="F257" s="5">
        <f t="shared" si="11"/>
        <v>5.6151355726426723E-3</v>
      </c>
    </row>
    <row r="258" spans="1:6" x14ac:dyDescent="0.35">
      <c r="A258" s="8">
        <v>45664</v>
      </c>
      <c r="B258" s="7">
        <v>-1.1093631622833238E-2</v>
      </c>
      <c r="D258" s="6" t="str">
        <f t="shared" si="9"/>
        <v>01/07/2025</v>
      </c>
      <c r="E258" s="6" t="str">
        <f t="shared" si="10"/>
        <v>SPXT Index</v>
      </c>
      <c r="F258" s="5">
        <f t="shared" si="11"/>
        <v>-1.1093631622833238E-2</v>
      </c>
    </row>
    <row r="259" spans="1:6" x14ac:dyDescent="0.35">
      <c r="A259" s="10">
        <v>45665</v>
      </c>
      <c r="B259" s="9">
        <v>1.5830943405532702E-3</v>
      </c>
      <c r="D259" s="6" t="str">
        <f t="shared" ref="D259:D280" si="12">IF(A259 =  "", "",  TEXT(A259, "mm/dd/yyyy"))</f>
        <v>01/08/2025</v>
      </c>
      <c r="E259" s="6" t="str">
        <f t="shared" ref="E259:E280" si="13">IF(A259="", "", EntityLocal)</f>
        <v>SPXT Index</v>
      </c>
      <c r="F259" s="5">
        <f t="shared" ref="F259:F280" si="14">IF(B259="","", B259)</f>
        <v>1.5830943405532702E-3</v>
      </c>
    </row>
    <row r="260" spans="1:6" x14ac:dyDescent="0.35">
      <c r="A260" s="8">
        <v>45667</v>
      </c>
      <c r="B260" s="7">
        <v>-1.5216469554363812E-2</v>
      </c>
      <c r="D260" s="6" t="str">
        <f t="shared" si="12"/>
        <v>01/10/2025</v>
      </c>
      <c r="E260" s="6" t="str">
        <f t="shared" si="13"/>
        <v>SPXT Index</v>
      </c>
      <c r="F260" s="5">
        <f t="shared" si="14"/>
        <v>-1.5216469554363812E-2</v>
      </c>
    </row>
    <row r="261" spans="1:6" x14ac:dyDescent="0.35">
      <c r="A261" s="10">
        <v>45670</v>
      </c>
      <c r="B261" s="9">
        <v>1.5761026271763285E-3</v>
      </c>
      <c r="D261" s="6" t="str">
        <f t="shared" si="12"/>
        <v>01/13/2025</v>
      </c>
      <c r="E261" s="6" t="str">
        <f t="shared" si="13"/>
        <v>SPXT Index</v>
      </c>
      <c r="F261" s="5">
        <f t="shared" si="14"/>
        <v>1.5761026271763285E-3</v>
      </c>
    </row>
    <row r="262" spans="1:6" x14ac:dyDescent="0.35">
      <c r="A262" s="8">
        <v>45671</v>
      </c>
      <c r="B262" s="7">
        <v>1.1492046848231164E-3</v>
      </c>
      <c r="D262" s="6" t="str">
        <f t="shared" si="12"/>
        <v>01/14/2025</v>
      </c>
      <c r="E262" s="6" t="str">
        <f t="shared" si="13"/>
        <v>SPXT Index</v>
      </c>
      <c r="F262" s="5">
        <f t="shared" si="14"/>
        <v>1.1492046848231164E-3</v>
      </c>
    </row>
    <row r="263" spans="1:6" x14ac:dyDescent="0.35">
      <c r="A263" s="10">
        <v>45672</v>
      </c>
      <c r="B263" s="9">
        <v>1.8412146234226205E-2</v>
      </c>
      <c r="D263" s="6" t="str">
        <f t="shared" si="12"/>
        <v>01/15/2025</v>
      </c>
      <c r="E263" s="6" t="str">
        <f t="shared" si="13"/>
        <v>SPXT Index</v>
      </c>
      <c r="F263" s="5">
        <f t="shared" si="14"/>
        <v>1.8412146234226205E-2</v>
      </c>
    </row>
    <row r="264" spans="1:6" x14ac:dyDescent="0.35">
      <c r="A264" s="8">
        <v>45673</v>
      </c>
      <c r="B264" s="7">
        <v>-2.0943393916390929E-3</v>
      </c>
      <c r="D264" s="6" t="str">
        <f t="shared" si="12"/>
        <v>01/16/2025</v>
      </c>
      <c r="E264" s="6" t="str">
        <f t="shared" si="13"/>
        <v>SPXT Index</v>
      </c>
      <c r="F264" s="5">
        <f t="shared" si="14"/>
        <v>-2.0943393916390929E-3</v>
      </c>
    </row>
    <row r="265" spans="1:6" x14ac:dyDescent="0.35">
      <c r="A265" s="10">
        <v>45674</v>
      </c>
      <c r="B265" s="9">
        <v>1.0011356325611351E-2</v>
      </c>
      <c r="D265" s="6" t="str">
        <f t="shared" si="12"/>
        <v>01/17/2025</v>
      </c>
      <c r="E265" s="6" t="str">
        <f t="shared" si="13"/>
        <v>SPXT Index</v>
      </c>
      <c r="F265" s="5">
        <f t="shared" si="14"/>
        <v>1.0011356325611351E-2</v>
      </c>
    </row>
    <row r="266" spans="1:6" x14ac:dyDescent="0.35">
      <c r="A266" s="8">
        <v>45678</v>
      </c>
      <c r="B266" s="7">
        <v>8.7938201074268738E-3</v>
      </c>
      <c r="D266" s="6" t="str">
        <f t="shared" si="12"/>
        <v>01/21/2025</v>
      </c>
      <c r="E266" s="6" t="str">
        <f t="shared" si="13"/>
        <v>SPXT Index</v>
      </c>
      <c r="F266" s="5">
        <f t="shared" si="14"/>
        <v>8.7938201074268738E-3</v>
      </c>
    </row>
    <row r="267" spans="1:6" x14ac:dyDescent="0.35">
      <c r="A267" s="10">
        <v>45679</v>
      </c>
      <c r="B267" s="9">
        <v>6.1546195770787963E-3</v>
      </c>
      <c r="D267" s="6" t="str">
        <f t="shared" si="12"/>
        <v>01/22/2025</v>
      </c>
      <c r="E267" s="6" t="str">
        <f t="shared" si="13"/>
        <v>SPXT Index</v>
      </c>
      <c r="F267" s="5">
        <f t="shared" si="14"/>
        <v>6.1546195770787963E-3</v>
      </c>
    </row>
    <row r="268" spans="1:6" x14ac:dyDescent="0.35">
      <c r="A268" s="8">
        <v>45680</v>
      </c>
      <c r="B268" s="7">
        <v>5.3293500960404985E-3</v>
      </c>
      <c r="D268" s="6" t="str">
        <f t="shared" si="12"/>
        <v>01/23/2025</v>
      </c>
      <c r="E268" s="6" t="str">
        <f t="shared" si="13"/>
        <v>SPXT Index</v>
      </c>
      <c r="F268" s="5">
        <f t="shared" si="14"/>
        <v>5.3293500960404985E-3</v>
      </c>
    </row>
    <row r="269" spans="1:6" x14ac:dyDescent="0.35">
      <c r="A269" s="10">
        <v>45681</v>
      </c>
      <c r="B269" s="9">
        <v>-2.7602913855844608E-3</v>
      </c>
      <c r="D269" s="6" t="str">
        <f t="shared" si="12"/>
        <v>01/24/2025</v>
      </c>
      <c r="E269" s="6" t="str">
        <f t="shared" si="13"/>
        <v>SPXT Index</v>
      </c>
      <c r="F269" s="5">
        <f t="shared" si="14"/>
        <v>-2.7602913855844608E-3</v>
      </c>
    </row>
    <row r="270" spans="1:6" x14ac:dyDescent="0.35">
      <c r="A270" s="8">
        <v>45684</v>
      </c>
      <c r="B270" s="7">
        <v>-1.4572302329762855E-2</v>
      </c>
      <c r="D270" s="6" t="str">
        <f t="shared" si="12"/>
        <v>01/27/2025</v>
      </c>
      <c r="E270" s="6" t="str">
        <f t="shared" si="13"/>
        <v>SPXT Index</v>
      </c>
      <c r="F270" s="5">
        <f t="shared" si="14"/>
        <v>-1.4572302329762855E-2</v>
      </c>
    </row>
    <row r="271" spans="1:6" x14ac:dyDescent="0.35">
      <c r="A271" s="10">
        <v>45685</v>
      </c>
      <c r="B271" s="9">
        <v>9.2185227498998885E-3</v>
      </c>
      <c r="D271" s="6" t="str">
        <f t="shared" si="12"/>
        <v>01/28/2025</v>
      </c>
      <c r="E271" s="6" t="str">
        <f t="shared" si="13"/>
        <v>SPXT Index</v>
      </c>
      <c r="F271" s="5">
        <f t="shared" si="14"/>
        <v>9.2185227498998885E-3</v>
      </c>
    </row>
    <row r="272" spans="1:6" x14ac:dyDescent="0.35">
      <c r="A272" s="8">
        <v>45686</v>
      </c>
      <c r="B272" s="7">
        <v>-4.6736859478093383E-3</v>
      </c>
      <c r="D272" s="6" t="str">
        <f t="shared" si="12"/>
        <v>01/29/2025</v>
      </c>
      <c r="E272" s="6" t="str">
        <f t="shared" si="13"/>
        <v>SPXT Index</v>
      </c>
      <c r="F272" s="5">
        <f t="shared" si="14"/>
        <v>-4.6736859478093383E-3</v>
      </c>
    </row>
    <row r="273" spans="1:6" x14ac:dyDescent="0.35">
      <c r="A273" s="10">
        <v>45687</v>
      </c>
      <c r="B273" s="9">
        <v>5.2910651094957078E-3</v>
      </c>
      <c r="D273" s="6" t="str">
        <f t="shared" si="12"/>
        <v>01/30/2025</v>
      </c>
      <c r="E273" s="6" t="str">
        <f t="shared" si="13"/>
        <v>SPXT Index</v>
      </c>
      <c r="F273" s="5">
        <f t="shared" si="14"/>
        <v>5.2910651094957078E-3</v>
      </c>
    </row>
    <row r="274" spans="1:6" x14ac:dyDescent="0.35">
      <c r="A274" s="8">
        <v>45688</v>
      </c>
      <c r="B274" s="7">
        <v>-4.9835618184340923E-3</v>
      </c>
      <c r="D274" s="6" t="str">
        <f t="shared" si="12"/>
        <v>01/31/2025</v>
      </c>
      <c r="E274" s="6" t="str">
        <f t="shared" si="13"/>
        <v>SPXT Index</v>
      </c>
      <c r="F274" s="5">
        <f t="shared" si="14"/>
        <v>-4.9835618184340923E-3</v>
      </c>
    </row>
    <row r="275" spans="1:6" x14ac:dyDescent="0.35">
      <c r="A275" s="10">
        <v>45691</v>
      </c>
      <c r="B275" s="9">
        <v>-7.5478209500443871E-3</v>
      </c>
      <c r="D275" s="6" t="str">
        <f t="shared" si="12"/>
        <v>02/03/2025</v>
      </c>
      <c r="E275" s="6" t="str">
        <f t="shared" si="13"/>
        <v>SPXT Index</v>
      </c>
      <c r="F275" s="5">
        <f t="shared" si="14"/>
        <v>-7.5478209500443871E-3</v>
      </c>
    </row>
    <row r="276" spans="1:6" x14ac:dyDescent="0.35">
      <c r="A276" s="8">
        <v>45692</v>
      </c>
      <c r="B276" s="7">
        <v>7.2309225955703091E-3</v>
      </c>
      <c r="D276" s="6" t="str">
        <f t="shared" si="12"/>
        <v>02/04/2025</v>
      </c>
      <c r="E276" s="6" t="str">
        <f t="shared" si="13"/>
        <v>SPXT Index</v>
      </c>
      <c r="F276" s="5">
        <f t="shared" si="14"/>
        <v>7.2309225955703091E-3</v>
      </c>
    </row>
    <row r="277" spans="1:6" x14ac:dyDescent="0.35">
      <c r="A277" s="10">
        <v>45693</v>
      </c>
      <c r="B277" s="9">
        <v>3.9181544422207566E-3</v>
      </c>
      <c r="D277" s="6" t="str">
        <f t="shared" si="12"/>
        <v>02/05/2025</v>
      </c>
      <c r="E277" s="6" t="str">
        <f t="shared" si="13"/>
        <v>SPXT Index</v>
      </c>
      <c r="F277" s="5">
        <f t="shared" si="14"/>
        <v>3.9181544422207566E-3</v>
      </c>
    </row>
    <row r="278" spans="1:6" x14ac:dyDescent="0.35">
      <c r="A278" s="8">
        <v>45694</v>
      </c>
      <c r="B278" s="7">
        <v>3.6438228830274165E-3</v>
      </c>
      <c r="D278" s="6" t="str">
        <f t="shared" si="12"/>
        <v>02/06/2025</v>
      </c>
      <c r="E278" s="6" t="str">
        <f t="shared" si="13"/>
        <v>SPXT Index</v>
      </c>
      <c r="F278" s="5">
        <f t="shared" si="14"/>
        <v>3.6438228830274165E-3</v>
      </c>
    </row>
    <row r="279" spans="1:6" x14ac:dyDescent="0.35">
      <c r="A279" s="10"/>
      <c r="B279" s="9"/>
      <c r="D279" s="6" t="str">
        <f t="shared" si="12"/>
        <v/>
      </c>
      <c r="E279" s="6" t="str">
        <f t="shared" si="13"/>
        <v/>
      </c>
      <c r="F279" s="5" t="str">
        <f t="shared" si="14"/>
        <v/>
      </c>
    </row>
    <row r="280" spans="1:6" x14ac:dyDescent="0.35">
      <c r="A280" s="8"/>
      <c r="B280" s="7"/>
      <c r="D280" s="6" t="str">
        <f t="shared" si="12"/>
        <v/>
      </c>
      <c r="E280" s="6" t="str">
        <f t="shared" si="13"/>
        <v/>
      </c>
      <c r="F280" s="5" t="str">
        <f t="shared" si="1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BBAF-3E7F-4791-B5D6-65498E76A8EA}">
  <sheetPr codeName="Sheet3"/>
  <dimension ref="A1:F280"/>
  <sheetViews>
    <sheetView showGridLines="0" zoomScale="91" zoomScaleNormal="91" workbookViewId="0">
      <pane xSplit="2" ySplit="2" topLeftCell="C232" activePane="bottomRight" state="frozen"/>
      <selection activeCell="B2" sqref="B2"/>
      <selection pane="topRight" activeCell="B2" sqref="B2"/>
      <selection pane="bottomLeft" activeCell="B2" sqref="B2"/>
      <selection pane="bottomRight" activeCell="A279" sqref="A279"/>
    </sheetView>
  </sheetViews>
  <sheetFormatPr defaultRowHeight="14.5" x14ac:dyDescent="0.35"/>
  <cols>
    <col min="1" max="1" width="17.7265625" style="4" customWidth="1"/>
    <col min="2" max="2" width="17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_xll.BQL(EntityLocal, "dropna(day_to_day_tot_return_gross_dvds(dates=range(2024-01-01, 2025-12-31)))","cols=2;rows=279")</f>
        <v/>
      </c>
      <c r="B1" s="18" t="s">
        <v>4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1.9775362136462235E-2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NBI Index</v>
      </c>
      <c r="F3" s="5">
        <f t="shared" ref="F3:F66" si="2">IF(B3="","", B3)</f>
        <v>1.9775362136462235E-2</v>
      </c>
    </row>
    <row r="4" spans="1:6" x14ac:dyDescent="0.35">
      <c r="A4" s="8">
        <v>45294</v>
      </c>
      <c r="B4" s="7">
        <v>-1.0708949028723441E-2</v>
      </c>
      <c r="D4" s="6" t="str">
        <f t="shared" si="0"/>
        <v>01/03/2024</v>
      </c>
      <c r="E4" s="6" t="str">
        <f t="shared" si="1"/>
        <v>NBI Index</v>
      </c>
      <c r="F4" s="5">
        <f t="shared" si="2"/>
        <v>-1.0708949028723441E-2</v>
      </c>
    </row>
    <row r="5" spans="1:6" x14ac:dyDescent="0.35">
      <c r="A5" s="10">
        <v>45295</v>
      </c>
      <c r="B5" s="9">
        <v>6.3978554370431118E-3</v>
      </c>
      <c r="D5" s="6" t="str">
        <f t="shared" si="0"/>
        <v>01/04/2024</v>
      </c>
      <c r="E5" s="6" t="str">
        <f t="shared" si="1"/>
        <v>NBI Index</v>
      </c>
      <c r="F5" s="5">
        <f t="shared" si="2"/>
        <v>6.3978554370431118E-3</v>
      </c>
    </row>
    <row r="6" spans="1:6" x14ac:dyDescent="0.35">
      <c r="A6" s="8">
        <v>45296</v>
      </c>
      <c r="B6" s="7">
        <v>-2.5014084507041625E-3</v>
      </c>
      <c r="D6" s="6" t="str">
        <f t="shared" si="0"/>
        <v>01/05/2024</v>
      </c>
      <c r="E6" s="6" t="str">
        <f t="shared" si="1"/>
        <v>NBI Index</v>
      </c>
      <c r="F6" s="5">
        <f t="shared" si="2"/>
        <v>-2.5014084507041625E-3</v>
      </c>
    </row>
    <row r="7" spans="1:6" x14ac:dyDescent="0.35">
      <c r="A7" s="10">
        <v>45299</v>
      </c>
      <c r="B7" s="9">
        <v>2.3775528646304167E-2</v>
      </c>
      <c r="D7" s="6" t="str">
        <f t="shared" si="0"/>
        <v>01/08/2024</v>
      </c>
      <c r="E7" s="6" t="str">
        <f t="shared" si="1"/>
        <v>NBI Index</v>
      </c>
      <c r="F7" s="5">
        <f t="shared" si="2"/>
        <v>2.3775528646304167E-2</v>
      </c>
    </row>
    <row r="8" spans="1:6" x14ac:dyDescent="0.35">
      <c r="A8" s="8">
        <v>45300</v>
      </c>
      <c r="B8" s="7">
        <v>-8.6723570274799472E-4</v>
      </c>
      <c r="D8" s="6" t="str">
        <f t="shared" si="0"/>
        <v>01/09/2024</v>
      </c>
      <c r="E8" s="6" t="str">
        <f t="shared" si="1"/>
        <v>NBI Index</v>
      </c>
      <c r="F8" s="5">
        <f t="shared" si="2"/>
        <v>-8.6723570274799472E-4</v>
      </c>
    </row>
    <row r="9" spans="1:6" x14ac:dyDescent="0.35">
      <c r="A9" s="10">
        <v>45301</v>
      </c>
      <c r="B9" s="9">
        <v>-5.6474465016529271E-3</v>
      </c>
      <c r="D9" s="6" t="str">
        <f t="shared" si="0"/>
        <v>01/10/2024</v>
      </c>
      <c r="E9" s="6" t="str">
        <f t="shared" si="1"/>
        <v>NBI Index</v>
      </c>
      <c r="F9" s="5">
        <f t="shared" si="2"/>
        <v>-5.6474465016529271E-3</v>
      </c>
    </row>
    <row r="10" spans="1:6" x14ac:dyDescent="0.35">
      <c r="A10" s="8">
        <v>45302</v>
      </c>
      <c r="B10" s="7">
        <v>-8.8646732442796278E-3</v>
      </c>
      <c r="D10" s="6" t="str">
        <f t="shared" si="0"/>
        <v>01/11/2024</v>
      </c>
      <c r="E10" s="6" t="str">
        <f t="shared" si="1"/>
        <v>NBI Index</v>
      </c>
      <c r="F10" s="5">
        <f t="shared" si="2"/>
        <v>-8.8646732442796278E-3</v>
      </c>
    </row>
    <row r="11" spans="1:6" x14ac:dyDescent="0.35">
      <c r="A11" s="10">
        <v>45303</v>
      </c>
      <c r="B11" s="9">
        <v>2.3508425159618884E-3</v>
      </c>
      <c r="D11" s="6" t="str">
        <f t="shared" si="0"/>
        <v>01/12/2024</v>
      </c>
      <c r="E11" s="6" t="str">
        <f t="shared" si="1"/>
        <v>NBI Index</v>
      </c>
      <c r="F11" s="5">
        <f t="shared" si="2"/>
        <v>2.3508425159618884E-3</v>
      </c>
    </row>
    <row r="12" spans="1:6" x14ac:dyDescent="0.35">
      <c r="A12" s="8">
        <v>45307</v>
      </c>
      <c r="B12" s="7">
        <v>-9.0504212201973147E-3</v>
      </c>
      <c r="D12" s="6" t="str">
        <f t="shared" si="0"/>
        <v>01/16/2024</v>
      </c>
      <c r="E12" s="6" t="str">
        <f t="shared" si="1"/>
        <v>NBI Index</v>
      </c>
      <c r="F12" s="5">
        <f t="shared" si="2"/>
        <v>-9.0504212201973147E-3</v>
      </c>
    </row>
    <row r="13" spans="1:6" x14ac:dyDescent="0.35">
      <c r="A13" s="10">
        <v>45308</v>
      </c>
      <c r="B13" s="9">
        <v>-5.9089760482282658E-3</v>
      </c>
      <c r="D13" s="6" t="str">
        <f t="shared" si="0"/>
        <v>01/17/2024</v>
      </c>
      <c r="E13" s="6" t="str">
        <f t="shared" si="1"/>
        <v>NBI Index</v>
      </c>
      <c r="F13" s="5">
        <f t="shared" si="2"/>
        <v>-5.9089760482282658E-3</v>
      </c>
    </row>
    <row r="14" spans="1:6" x14ac:dyDescent="0.35">
      <c r="A14" s="8">
        <v>45309</v>
      </c>
      <c r="B14" s="7">
        <v>-6.3004278208373642E-3</v>
      </c>
      <c r="D14" s="6" t="str">
        <f t="shared" si="0"/>
        <v>01/18/2024</v>
      </c>
      <c r="E14" s="6" t="str">
        <f t="shared" si="1"/>
        <v>NBI Index</v>
      </c>
      <c r="F14" s="5">
        <f t="shared" si="2"/>
        <v>-6.3004278208373642E-3</v>
      </c>
    </row>
    <row r="15" spans="1:6" x14ac:dyDescent="0.35">
      <c r="A15" s="10">
        <v>45310</v>
      </c>
      <c r="B15" s="9">
        <v>4.2185419421738252E-3</v>
      </c>
      <c r="D15" s="6" t="str">
        <f t="shared" si="0"/>
        <v>01/19/2024</v>
      </c>
      <c r="E15" s="6" t="str">
        <f t="shared" si="1"/>
        <v>NBI Index</v>
      </c>
      <c r="F15" s="5">
        <f t="shared" si="2"/>
        <v>4.2185419421738252E-3</v>
      </c>
    </row>
    <row r="16" spans="1:6" x14ac:dyDescent="0.35">
      <c r="A16" s="8">
        <v>45313</v>
      </c>
      <c r="B16" s="7">
        <v>3.8642090994278778E-3</v>
      </c>
      <c r="D16" s="6" t="str">
        <f t="shared" si="0"/>
        <v>01/22/2024</v>
      </c>
      <c r="E16" s="6" t="str">
        <f t="shared" si="1"/>
        <v>NBI Index</v>
      </c>
      <c r="F16" s="5">
        <f t="shared" si="2"/>
        <v>3.8642090994278778E-3</v>
      </c>
    </row>
    <row r="17" spans="1:6" x14ac:dyDescent="0.35">
      <c r="A17" s="10">
        <v>45314</v>
      </c>
      <c r="B17" s="9">
        <v>5.929198527329281E-3</v>
      </c>
      <c r="D17" s="6" t="str">
        <f t="shared" si="0"/>
        <v>01/23/2024</v>
      </c>
      <c r="E17" s="6" t="str">
        <f t="shared" si="1"/>
        <v>NBI Index</v>
      </c>
      <c r="F17" s="5">
        <f t="shared" si="2"/>
        <v>5.929198527329281E-3</v>
      </c>
    </row>
    <row r="18" spans="1:6" x14ac:dyDescent="0.35">
      <c r="A18" s="8">
        <v>45315</v>
      </c>
      <c r="B18" s="7">
        <v>-1.0612803834303334E-2</v>
      </c>
      <c r="D18" s="6" t="str">
        <f t="shared" si="0"/>
        <v>01/24/2024</v>
      </c>
      <c r="E18" s="6" t="str">
        <f t="shared" si="1"/>
        <v>NBI Index</v>
      </c>
      <c r="F18" s="5">
        <f t="shared" si="2"/>
        <v>-1.0612803834303334E-2</v>
      </c>
    </row>
    <row r="19" spans="1:6" x14ac:dyDescent="0.35">
      <c r="A19" s="10">
        <v>45316</v>
      </c>
      <c r="B19" s="9">
        <v>7.104807867419489E-3</v>
      </c>
      <c r="D19" s="6" t="str">
        <f t="shared" si="0"/>
        <v>01/25/2024</v>
      </c>
      <c r="E19" s="6" t="str">
        <f t="shared" si="1"/>
        <v>NBI Index</v>
      </c>
      <c r="F19" s="5">
        <f t="shared" si="2"/>
        <v>7.104807867419489E-3</v>
      </c>
    </row>
    <row r="20" spans="1:6" x14ac:dyDescent="0.35">
      <c r="A20" s="8">
        <v>45317</v>
      </c>
      <c r="B20" s="7">
        <v>-3.5714204985975162E-3</v>
      </c>
      <c r="D20" s="6" t="str">
        <f t="shared" si="0"/>
        <v>01/26/2024</v>
      </c>
      <c r="E20" s="6" t="str">
        <f t="shared" si="1"/>
        <v>NBI Index</v>
      </c>
      <c r="F20" s="5">
        <f t="shared" si="2"/>
        <v>-3.5714204985975162E-3</v>
      </c>
    </row>
    <row r="21" spans="1:6" x14ac:dyDescent="0.35">
      <c r="A21" s="10">
        <v>45320</v>
      </c>
      <c r="B21" s="9">
        <v>1.6696119286513281E-2</v>
      </c>
      <c r="D21" s="6" t="str">
        <f t="shared" si="0"/>
        <v>01/29/2024</v>
      </c>
      <c r="E21" s="6" t="str">
        <f t="shared" si="1"/>
        <v>NBI Index</v>
      </c>
      <c r="F21" s="5">
        <f t="shared" si="2"/>
        <v>1.6696119286513281E-2</v>
      </c>
    </row>
    <row r="22" spans="1:6" x14ac:dyDescent="0.35">
      <c r="A22" s="8">
        <v>45321</v>
      </c>
      <c r="B22" s="7">
        <v>-8.4028550964901898E-3</v>
      </c>
      <c r="D22" s="6" t="str">
        <f t="shared" si="0"/>
        <v>01/30/2024</v>
      </c>
      <c r="E22" s="6" t="str">
        <f t="shared" si="1"/>
        <v>NBI Index</v>
      </c>
      <c r="F22" s="5">
        <f t="shared" si="2"/>
        <v>-8.4028550964901898E-3</v>
      </c>
    </row>
    <row r="23" spans="1:6" x14ac:dyDescent="0.35">
      <c r="A23" s="10">
        <v>45322</v>
      </c>
      <c r="B23" s="9">
        <v>-1.3296130868669933E-2</v>
      </c>
      <c r="D23" s="6" t="str">
        <f t="shared" si="0"/>
        <v>01/31/2024</v>
      </c>
      <c r="E23" s="6" t="str">
        <f t="shared" si="1"/>
        <v>NBI Index</v>
      </c>
      <c r="F23" s="5">
        <f t="shared" si="2"/>
        <v>-1.3296130868669933E-2</v>
      </c>
    </row>
    <row r="24" spans="1:6" x14ac:dyDescent="0.35">
      <c r="A24" s="8">
        <v>45323</v>
      </c>
      <c r="B24" s="7">
        <v>1.276379342585948E-2</v>
      </c>
      <c r="D24" s="6" t="str">
        <f t="shared" si="0"/>
        <v>02/01/2024</v>
      </c>
      <c r="E24" s="6" t="str">
        <f t="shared" si="1"/>
        <v>NBI Index</v>
      </c>
      <c r="F24" s="5">
        <f t="shared" si="2"/>
        <v>1.276379342585948E-2</v>
      </c>
    </row>
    <row r="25" spans="1:6" x14ac:dyDescent="0.35">
      <c r="A25" s="10">
        <v>45324</v>
      </c>
      <c r="B25" s="9">
        <v>-1.2184110442847599E-2</v>
      </c>
      <c r="D25" s="6" t="str">
        <f t="shared" si="0"/>
        <v>02/02/2024</v>
      </c>
      <c r="E25" s="6" t="str">
        <f t="shared" si="1"/>
        <v>NBI Index</v>
      </c>
      <c r="F25" s="5">
        <f t="shared" si="2"/>
        <v>-1.2184110442847599E-2</v>
      </c>
    </row>
    <row r="26" spans="1:6" x14ac:dyDescent="0.35">
      <c r="A26" s="8">
        <v>45327</v>
      </c>
      <c r="B26" s="7">
        <v>2.0287582176110994E-4</v>
      </c>
      <c r="D26" s="6" t="str">
        <f t="shared" si="0"/>
        <v>02/05/2024</v>
      </c>
      <c r="E26" s="6" t="str">
        <f t="shared" si="1"/>
        <v>NBI Index</v>
      </c>
      <c r="F26" s="5">
        <f t="shared" si="2"/>
        <v>2.0287582176110994E-4</v>
      </c>
    </row>
    <row r="27" spans="1:6" x14ac:dyDescent="0.35">
      <c r="A27" s="10">
        <v>45328</v>
      </c>
      <c r="B27" s="9">
        <v>1.0374195783317629E-2</v>
      </c>
      <c r="D27" s="6" t="str">
        <f t="shared" si="0"/>
        <v>02/06/2024</v>
      </c>
      <c r="E27" s="6" t="str">
        <f t="shared" si="1"/>
        <v>NBI Index</v>
      </c>
      <c r="F27" s="5">
        <f t="shared" si="2"/>
        <v>1.0374195783317629E-2</v>
      </c>
    </row>
    <row r="28" spans="1:6" x14ac:dyDescent="0.35">
      <c r="A28" s="8">
        <v>45329</v>
      </c>
      <c r="B28" s="7">
        <v>-1.8067682757656144E-2</v>
      </c>
      <c r="D28" s="6" t="str">
        <f t="shared" si="0"/>
        <v>02/07/2024</v>
      </c>
      <c r="E28" s="6" t="str">
        <f t="shared" si="1"/>
        <v>NBI Index</v>
      </c>
      <c r="F28" s="5">
        <f t="shared" si="2"/>
        <v>-1.8067682757656144E-2</v>
      </c>
    </row>
    <row r="29" spans="1:6" x14ac:dyDescent="0.35">
      <c r="A29" s="10">
        <v>45330</v>
      </c>
      <c r="B29" s="9">
        <v>7.2589778164725081E-4</v>
      </c>
      <c r="D29" s="6" t="str">
        <f t="shared" si="0"/>
        <v>02/08/2024</v>
      </c>
      <c r="E29" s="6" t="str">
        <f t="shared" si="1"/>
        <v>NBI Index</v>
      </c>
      <c r="F29" s="5">
        <f t="shared" si="2"/>
        <v>7.2589778164725081E-4</v>
      </c>
    </row>
    <row r="30" spans="1:6" x14ac:dyDescent="0.35">
      <c r="A30" s="8">
        <v>45331</v>
      </c>
      <c r="B30" s="7">
        <v>4.6988446856225845E-3</v>
      </c>
      <c r="D30" s="6" t="str">
        <f t="shared" si="0"/>
        <v>02/09/2024</v>
      </c>
      <c r="E30" s="6" t="str">
        <f t="shared" si="1"/>
        <v>NBI Index</v>
      </c>
      <c r="F30" s="5">
        <f t="shared" si="2"/>
        <v>4.6988446856225845E-3</v>
      </c>
    </row>
    <row r="31" spans="1:6" x14ac:dyDescent="0.35">
      <c r="A31" s="10">
        <v>45334</v>
      </c>
      <c r="B31" s="9">
        <v>9.6096288206615286E-3</v>
      </c>
      <c r="D31" s="6" t="str">
        <f t="shared" si="0"/>
        <v>02/12/2024</v>
      </c>
      <c r="E31" s="6" t="str">
        <f t="shared" si="1"/>
        <v>NBI Index</v>
      </c>
      <c r="F31" s="5">
        <f t="shared" si="2"/>
        <v>9.6096288206615286E-3</v>
      </c>
    </row>
    <row r="32" spans="1:6" x14ac:dyDescent="0.35">
      <c r="A32" s="8">
        <v>45335</v>
      </c>
      <c r="B32" s="7">
        <v>-2.5298036624333591E-2</v>
      </c>
      <c r="D32" s="6" t="str">
        <f t="shared" si="0"/>
        <v>02/13/2024</v>
      </c>
      <c r="E32" s="6" t="str">
        <f t="shared" si="1"/>
        <v>NBI Index</v>
      </c>
      <c r="F32" s="5">
        <f t="shared" si="2"/>
        <v>-2.5298036624333591E-2</v>
      </c>
    </row>
    <row r="33" spans="1:6" x14ac:dyDescent="0.35">
      <c r="A33" s="10">
        <v>45336</v>
      </c>
      <c r="B33" s="9">
        <v>1.3096888183082534E-2</v>
      </c>
      <c r="D33" s="6" t="str">
        <f t="shared" si="0"/>
        <v>02/14/2024</v>
      </c>
      <c r="E33" s="6" t="str">
        <f t="shared" si="1"/>
        <v>NBI Index</v>
      </c>
      <c r="F33" s="5">
        <f t="shared" si="2"/>
        <v>1.3096888183082534E-2</v>
      </c>
    </row>
    <row r="34" spans="1:6" x14ac:dyDescent="0.35">
      <c r="A34" s="8">
        <v>45337</v>
      </c>
      <c r="B34" s="7">
        <v>1.628306306347586E-2</v>
      </c>
      <c r="D34" s="6" t="str">
        <f t="shared" si="0"/>
        <v>02/15/2024</v>
      </c>
      <c r="E34" s="6" t="str">
        <f t="shared" si="1"/>
        <v>NBI Index</v>
      </c>
      <c r="F34" s="5">
        <f t="shared" si="2"/>
        <v>1.628306306347586E-2</v>
      </c>
    </row>
    <row r="35" spans="1:6" x14ac:dyDescent="0.35">
      <c r="A35" s="10">
        <v>45338</v>
      </c>
      <c r="B35" s="9">
        <v>-4.4658169804850639E-3</v>
      </c>
      <c r="D35" s="6" t="str">
        <f t="shared" si="0"/>
        <v>02/16/2024</v>
      </c>
      <c r="E35" s="6" t="str">
        <f t="shared" si="1"/>
        <v>NBI Index</v>
      </c>
      <c r="F35" s="5">
        <f t="shared" si="2"/>
        <v>-4.4658169804850639E-3</v>
      </c>
    </row>
    <row r="36" spans="1:6" x14ac:dyDescent="0.35">
      <c r="A36" s="8">
        <v>45342</v>
      </c>
      <c r="B36" s="7">
        <v>-6.0340235512789057E-3</v>
      </c>
      <c r="D36" s="6" t="str">
        <f t="shared" si="0"/>
        <v>02/20/2024</v>
      </c>
      <c r="E36" s="6" t="str">
        <f t="shared" si="1"/>
        <v>NBI Index</v>
      </c>
      <c r="F36" s="5">
        <f t="shared" si="2"/>
        <v>-6.0340235512789057E-3</v>
      </c>
    </row>
    <row r="37" spans="1:6" x14ac:dyDescent="0.35">
      <c r="A37" s="10">
        <v>45343</v>
      </c>
      <c r="B37" s="9">
        <v>2.4127543027071797E-3</v>
      </c>
      <c r="D37" s="6" t="str">
        <f t="shared" si="0"/>
        <v>02/21/2024</v>
      </c>
      <c r="E37" s="6" t="str">
        <f t="shared" si="1"/>
        <v>NBI Index</v>
      </c>
      <c r="F37" s="5">
        <f t="shared" si="2"/>
        <v>2.4127543027071797E-3</v>
      </c>
    </row>
    <row r="38" spans="1:6" x14ac:dyDescent="0.35">
      <c r="A38" s="8">
        <v>45344</v>
      </c>
      <c r="B38" s="7">
        <v>1.430100259122153E-2</v>
      </c>
      <c r="D38" s="6" t="str">
        <f t="shared" si="0"/>
        <v>02/22/2024</v>
      </c>
      <c r="E38" s="6" t="str">
        <f t="shared" si="1"/>
        <v>NBI Index</v>
      </c>
      <c r="F38" s="5">
        <f t="shared" si="2"/>
        <v>1.430100259122153E-2</v>
      </c>
    </row>
    <row r="39" spans="1:6" x14ac:dyDescent="0.35">
      <c r="A39" s="10">
        <v>45345</v>
      </c>
      <c r="B39" s="9">
        <v>7.7626021660781057E-3</v>
      </c>
      <c r="D39" s="6" t="str">
        <f t="shared" si="0"/>
        <v>02/23/2024</v>
      </c>
      <c r="E39" s="6" t="str">
        <f t="shared" si="1"/>
        <v>NBI Index</v>
      </c>
      <c r="F39" s="5">
        <f t="shared" si="2"/>
        <v>7.7626021660781057E-3</v>
      </c>
    </row>
    <row r="40" spans="1:6" x14ac:dyDescent="0.35">
      <c r="A40" s="8">
        <v>45348</v>
      </c>
      <c r="B40" s="7">
        <v>8.4688580736966765E-3</v>
      </c>
      <c r="D40" s="6" t="str">
        <f t="shared" si="0"/>
        <v>02/26/2024</v>
      </c>
      <c r="E40" s="6" t="str">
        <f t="shared" si="1"/>
        <v>NBI Index</v>
      </c>
      <c r="F40" s="5">
        <f t="shared" si="2"/>
        <v>8.4688580736966765E-3</v>
      </c>
    </row>
    <row r="41" spans="1:6" x14ac:dyDescent="0.35">
      <c r="A41" s="10">
        <v>45349</v>
      </c>
      <c r="B41" s="9">
        <v>1.3620103343196518E-2</v>
      </c>
      <c r="D41" s="6" t="str">
        <f t="shared" si="0"/>
        <v>02/27/2024</v>
      </c>
      <c r="E41" s="6" t="str">
        <f t="shared" si="1"/>
        <v>NBI Index</v>
      </c>
      <c r="F41" s="5">
        <f t="shared" si="2"/>
        <v>1.3620103343196518E-2</v>
      </c>
    </row>
    <row r="42" spans="1:6" x14ac:dyDescent="0.35">
      <c r="A42" s="8">
        <v>45350</v>
      </c>
      <c r="B42" s="7">
        <v>-1.4822625199334341E-2</v>
      </c>
      <c r="D42" s="6" t="str">
        <f t="shared" si="0"/>
        <v>02/28/2024</v>
      </c>
      <c r="E42" s="6" t="str">
        <f t="shared" si="1"/>
        <v>NBI Index</v>
      </c>
      <c r="F42" s="5">
        <f t="shared" si="2"/>
        <v>-1.4822625199334341E-2</v>
      </c>
    </row>
    <row r="43" spans="1:6" x14ac:dyDescent="0.35">
      <c r="A43" s="10">
        <v>45351</v>
      </c>
      <c r="B43" s="9">
        <v>-2.0715397679026176E-2</v>
      </c>
      <c r="D43" s="6" t="str">
        <f t="shared" si="0"/>
        <v>02/29/2024</v>
      </c>
      <c r="E43" s="6" t="str">
        <f t="shared" si="1"/>
        <v>NBI Index</v>
      </c>
      <c r="F43" s="5">
        <f t="shared" si="2"/>
        <v>-2.0715397679026176E-2</v>
      </c>
    </row>
    <row r="44" spans="1:6" x14ac:dyDescent="0.35">
      <c r="A44" s="8">
        <v>45352</v>
      </c>
      <c r="B44" s="7">
        <v>1.9568437595968016E-2</v>
      </c>
      <c r="D44" s="6" t="str">
        <f t="shared" si="0"/>
        <v>03/01/2024</v>
      </c>
      <c r="E44" s="6" t="str">
        <f t="shared" si="1"/>
        <v>NBI Index</v>
      </c>
      <c r="F44" s="5">
        <f t="shared" si="2"/>
        <v>1.9568437595968016E-2</v>
      </c>
    </row>
    <row r="45" spans="1:6" x14ac:dyDescent="0.35">
      <c r="A45" s="10">
        <v>45355</v>
      </c>
      <c r="B45" s="9">
        <v>-1.1113522707642267E-2</v>
      </c>
      <c r="D45" s="6" t="str">
        <f t="shared" si="0"/>
        <v>03/04/2024</v>
      </c>
      <c r="E45" s="6" t="str">
        <f t="shared" si="1"/>
        <v>NBI Index</v>
      </c>
      <c r="F45" s="5">
        <f t="shared" si="2"/>
        <v>-1.1113522707642267E-2</v>
      </c>
    </row>
    <row r="46" spans="1:6" x14ac:dyDescent="0.35">
      <c r="A46" s="8">
        <v>45356</v>
      </c>
      <c r="B46" s="7">
        <v>-7.7846783007541713E-3</v>
      </c>
      <c r="D46" s="6" t="str">
        <f t="shared" si="0"/>
        <v>03/05/2024</v>
      </c>
      <c r="E46" s="6" t="str">
        <f t="shared" si="1"/>
        <v>NBI Index</v>
      </c>
      <c r="F46" s="5">
        <f t="shared" si="2"/>
        <v>-7.7846783007541713E-3</v>
      </c>
    </row>
    <row r="47" spans="1:6" x14ac:dyDescent="0.35">
      <c r="A47" s="10">
        <v>45357</v>
      </c>
      <c r="B47" s="9">
        <v>2.8914716258827654E-3</v>
      </c>
      <c r="D47" s="6" t="str">
        <f t="shared" si="0"/>
        <v>03/06/2024</v>
      </c>
      <c r="E47" s="6" t="str">
        <f t="shared" si="1"/>
        <v>NBI Index</v>
      </c>
      <c r="F47" s="5">
        <f t="shared" si="2"/>
        <v>2.8914716258827654E-3</v>
      </c>
    </row>
    <row r="48" spans="1:6" x14ac:dyDescent="0.35">
      <c r="A48" s="8">
        <v>45358</v>
      </c>
      <c r="B48" s="7">
        <v>3.3760364431778532E-5</v>
      </c>
      <c r="D48" s="6" t="str">
        <f t="shared" si="0"/>
        <v>03/07/2024</v>
      </c>
      <c r="E48" s="6" t="str">
        <f t="shared" si="1"/>
        <v>NBI Index</v>
      </c>
      <c r="F48" s="5">
        <f t="shared" si="2"/>
        <v>3.3760364431778532E-5</v>
      </c>
    </row>
    <row r="49" spans="1:6" x14ac:dyDescent="0.35">
      <c r="A49" s="10">
        <v>45359</v>
      </c>
      <c r="B49" s="9">
        <v>3.9916738498796426E-3</v>
      </c>
      <c r="D49" s="6" t="str">
        <f t="shared" si="0"/>
        <v>03/08/2024</v>
      </c>
      <c r="E49" s="6" t="str">
        <f t="shared" si="1"/>
        <v>NBI Index</v>
      </c>
      <c r="F49" s="5">
        <f t="shared" si="2"/>
        <v>3.9916738498796426E-3</v>
      </c>
    </row>
    <row r="50" spans="1:6" x14ac:dyDescent="0.35">
      <c r="A50" s="8">
        <v>45362</v>
      </c>
      <c r="B50" s="7">
        <v>-1.2061941882964503E-3</v>
      </c>
      <c r="D50" s="6" t="str">
        <f t="shared" si="0"/>
        <v>03/11/2024</v>
      </c>
      <c r="E50" s="6" t="str">
        <f t="shared" si="1"/>
        <v>NBI Index</v>
      </c>
      <c r="F50" s="5">
        <f t="shared" si="2"/>
        <v>-1.2061941882964503E-3</v>
      </c>
    </row>
    <row r="51" spans="1:6" x14ac:dyDescent="0.35">
      <c r="A51" s="10">
        <v>45363</v>
      </c>
      <c r="B51" s="9">
        <v>-4.5881753473118164E-3</v>
      </c>
      <c r="D51" s="6" t="str">
        <f t="shared" si="0"/>
        <v>03/12/2024</v>
      </c>
      <c r="E51" s="6" t="str">
        <f t="shared" si="1"/>
        <v>NBI Index</v>
      </c>
      <c r="F51" s="5">
        <f t="shared" si="2"/>
        <v>-4.5881753473118164E-3</v>
      </c>
    </row>
    <row r="52" spans="1:6" x14ac:dyDescent="0.35">
      <c r="A52" s="8">
        <v>45364</v>
      </c>
      <c r="B52" s="7">
        <v>2.6316442251531486E-3</v>
      </c>
      <c r="D52" s="6" t="str">
        <f t="shared" si="0"/>
        <v>03/13/2024</v>
      </c>
      <c r="E52" s="6" t="str">
        <f t="shared" si="1"/>
        <v>NBI Index</v>
      </c>
      <c r="F52" s="5">
        <f t="shared" si="2"/>
        <v>2.6316442251531486E-3</v>
      </c>
    </row>
    <row r="53" spans="1:6" x14ac:dyDescent="0.35">
      <c r="A53" s="10">
        <v>45365</v>
      </c>
      <c r="B53" s="9">
        <v>-1.9457311927595838E-2</v>
      </c>
      <c r="D53" s="6" t="str">
        <f t="shared" si="0"/>
        <v>03/14/2024</v>
      </c>
      <c r="E53" s="6" t="str">
        <f t="shared" si="1"/>
        <v>NBI Index</v>
      </c>
      <c r="F53" s="5">
        <f t="shared" si="2"/>
        <v>-1.9457311927595838E-2</v>
      </c>
    </row>
    <row r="54" spans="1:6" x14ac:dyDescent="0.35">
      <c r="A54" s="8">
        <v>45366</v>
      </c>
      <c r="B54" s="7">
        <v>2.1416962785445249E-3</v>
      </c>
      <c r="D54" s="6" t="str">
        <f t="shared" si="0"/>
        <v>03/15/2024</v>
      </c>
      <c r="E54" s="6" t="str">
        <f t="shared" si="1"/>
        <v>NBI Index</v>
      </c>
      <c r="F54" s="5">
        <f t="shared" si="2"/>
        <v>2.1416962785445249E-3</v>
      </c>
    </row>
    <row r="55" spans="1:6" x14ac:dyDescent="0.35">
      <c r="A55" s="10">
        <v>45369</v>
      </c>
      <c r="B55" s="9">
        <v>-6.4938188465052515E-3</v>
      </c>
      <c r="D55" s="6" t="str">
        <f t="shared" si="0"/>
        <v>03/18/2024</v>
      </c>
      <c r="E55" s="6" t="str">
        <f t="shared" si="1"/>
        <v>NBI Index</v>
      </c>
      <c r="F55" s="5">
        <f t="shared" si="2"/>
        <v>-6.4938188465052515E-3</v>
      </c>
    </row>
    <row r="56" spans="1:6" x14ac:dyDescent="0.35">
      <c r="A56" s="8">
        <v>45370</v>
      </c>
      <c r="B56" s="7">
        <v>8.0879064126860734E-3</v>
      </c>
      <c r="D56" s="6" t="str">
        <f t="shared" si="0"/>
        <v>03/19/2024</v>
      </c>
      <c r="E56" s="6" t="str">
        <f t="shared" si="1"/>
        <v>NBI Index</v>
      </c>
      <c r="F56" s="5">
        <f t="shared" si="2"/>
        <v>8.0879064126860734E-3</v>
      </c>
    </row>
    <row r="57" spans="1:6" x14ac:dyDescent="0.35">
      <c r="A57" s="10">
        <v>45371</v>
      </c>
      <c r="B57" s="9">
        <v>5.1641882527294746E-3</v>
      </c>
      <c r="D57" s="6" t="str">
        <f t="shared" si="0"/>
        <v>03/20/2024</v>
      </c>
      <c r="E57" s="6" t="str">
        <f t="shared" si="1"/>
        <v>NBI Index</v>
      </c>
      <c r="F57" s="5">
        <f t="shared" si="2"/>
        <v>5.1641882527294746E-3</v>
      </c>
    </row>
    <row r="58" spans="1:6" x14ac:dyDescent="0.35">
      <c r="A58" s="8">
        <v>45372</v>
      </c>
      <c r="B58" s="7">
        <v>4.7690557451649908E-3</v>
      </c>
      <c r="D58" s="6" t="str">
        <f t="shared" si="0"/>
        <v>03/21/2024</v>
      </c>
      <c r="E58" s="6" t="str">
        <f t="shared" si="1"/>
        <v>NBI Index</v>
      </c>
      <c r="F58" s="5">
        <f t="shared" si="2"/>
        <v>4.7690557451649908E-3</v>
      </c>
    </row>
    <row r="59" spans="1:6" x14ac:dyDescent="0.35">
      <c r="A59" s="10">
        <v>45373</v>
      </c>
      <c r="B59" s="9">
        <v>-7.2826746619079957E-3</v>
      </c>
      <c r="D59" s="6" t="str">
        <f t="shared" si="0"/>
        <v>03/22/2024</v>
      </c>
      <c r="E59" s="6" t="str">
        <f t="shared" si="1"/>
        <v>NBI Index</v>
      </c>
      <c r="F59" s="5">
        <f t="shared" si="2"/>
        <v>-7.2826746619079957E-3</v>
      </c>
    </row>
    <row r="60" spans="1:6" x14ac:dyDescent="0.35">
      <c r="A60" s="8">
        <v>45376</v>
      </c>
      <c r="B60" s="7">
        <v>-2.0860463524823448E-4</v>
      </c>
      <c r="D60" s="6" t="str">
        <f t="shared" si="0"/>
        <v>03/25/2024</v>
      </c>
      <c r="E60" s="6" t="str">
        <f t="shared" si="1"/>
        <v>NBI Index</v>
      </c>
      <c r="F60" s="5">
        <f t="shared" si="2"/>
        <v>-2.0860463524823448E-4</v>
      </c>
    </row>
    <row r="61" spans="1:6" x14ac:dyDescent="0.35">
      <c r="A61" s="10">
        <v>45377</v>
      </c>
      <c r="B61" s="9">
        <v>-8.2825844401477038E-4</v>
      </c>
      <c r="D61" s="6" t="str">
        <f t="shared" si="0"/>
        <v>03/26/2024</v>
      </c>
      <c r="E61" s="6" t="str">
        <f t="shared" si="1"/>
        <v>NBI Index</v>
      </c>
      <c r="F61" s="5">
        <f t="shared" si="2"/>
        <v>-8.2825844401477038E-4</v>
      </c>
    </row>
    <row r="62" spans="1:6" x14ac:dyDescent="0.35">
      <c r="A62" s="8">
        <v>45378</v>
      </c>
      <c r="B62" s="7">
        <v>1.529095285289535E-2</v>
      </c>
      <c r="D62" s="6" t="str">
        <f t="shared" si="0"/>
        <v>03/27/2024</v>
      </c>
      <c r="E62" s="6" t="str">
        <f t="shared" si="1"/>
        <v>NBI Index</v>
      </c>
      <c r="F62" s="5">
        <f t="shared" si="2"/>
        <v>1.529095285289535E-2</v>
      </c>
    </row>
    <row r="63" spans="1:6" x14ac:dyDescent="0.35">
      <c r="A63" s="10">
        <v>45379</v>
      </c>
      <c r="B63" s="9">
        <v>-3.6099702655407861E-3</v>
      </c>
      <c r="D63" s="6" t="str">
        <f t="shared" si="0"/>
        <v>03/28/2024</v>
      </c>
      <c r="E63" s="6" t="str">
        <f t="shared" si="1"/>
        <v>NBI Index</v>
      </c>
      <c r="F63" s="5">
        <f t="shared" si="2"/>
        <v>-3.6099702655407861E-3</v>
      </c>
    </row>
    <row r="64" spans="1:6" x14ac:dyDescent="0.35">
      <c r="A64" s="8">
        <v>45383</v>
      </c>
      <c r="B64" s="7">
        <v>-4.9706882890857233E-3</v>
      </c>
      <c r="D64" s="6" t="str">
        <f t="shared" si="0"/>
        <v>04/01/2024</v>
      </c>
      <c r="E64" s="6" t="str">
        <f t="shared" si="1"/>
        <v>NBI Index</v>
      </c>
      <c r="F64" s="5">
        <f t="shared" si="2"/>
        <v>-4.9706882890857233E-3</v>
      </c>
    </row>
    <row r="65" spans="1:6" x14ac:dyDescent="0.35">
      <c r="A65" s="10">
        <v>45384</v>
      </c>
      <c r="B65" s="9">
        <v>-2.1744802005467186E-2</v>
      </c>
      <c r="D65" s="6" t="str">
        <f t="shared" si="0"/>
        <v>04/02/2024</v>
      </c>
      <c r="E65" s="6" t="str">
        <f t="shared" si="1"/>
        <v>NBI Index</v>
      </c>
      <c r="F65" s="5">
        <f t="shared" si="2"/>
        <v>-2.1744802005467186E-2</v>
      </c>
    </row>
    <row r="66" spans="1:6" x14ac:dyDescent="0.35">
      <c r="A66" s="8">
        <v>45385</v>
      </c>
      <c r="B66" s="7">
        <v>-1.4030286867187673E-3</v>
      </c>
      <c r="D66" s="6" t="str">
        <f t="shared" si="0"/>
        <v>04/03/2024</v>
      </c>
      <c r="E66" s="6" t="str">
        <f t="shared" si="1"/>
        <v>NBI Index</v>
      </c>
      <c r="F66" s="5">
        <f t="shared" si="2"/>
        <v>-1.4030286867187673E-3</v>
      </c>
    </row>
    <row r="67" spans="1:6" x14ac:dyDescent="0.35">
      <c r="A67" s="10">
        <v>45386</v>
      </c>
      <c r="B67" s="9">
        <v>-1.2819173024001193E-2</v>
      </c>
      <c r="D67" s="6" t="str">
        <f t="shared" ref="D67:D130" si="3">IF(A67 =  "", "",  TEXT(A67, "mm/dd/yyyy"))</f>
        <v>04/04/2024</v>
      </c>
      <c r="E67" s="6" t="str">
        <f t="shared" ref="E67:E130" si="4">IF(A67="", "", EntityLocal)</f>
        <v>NBI Index</v>
      </c>
      <c r="F67" s="5">
        <f t="shared" ref="F67:F130" si="5">IF(B67="","", B67)</f>
        <v>-1.2819173024001193E-2</v>
      </c>
    </row>
    <row r="68" spans="1:6" x14ac:dyDescent="0.35">
      <c r="A68" s="8">
        <v>45387</v>
      </c>
      <c r="B68" s="7">
        <v>6.1611207170331021E-3</v>
      </c>
      <c r="D68" s="6" t="str">
        <f t="shared" si="3"/>
        <v>04/05/2024</v>
      </c>
      <c r="E68" s="6" t="str">
        <f t="shared" si="4"/>
        <v>NBI Index</v>
      </c>
      <c r="F68" s="5">
        <f t="shared" si="5"/>
        <v>6.1611207170331021E-3</v>
      </c>
    </row>
    <row r="69" spans="1:6" x14ac:dyDescent="0.35">
      <c r="A69" s="10">
        <v>45390</v>
      </c>
      <c r="B69" s="9">
        <v>1.3934870845256758E-3</v>
      </c>
      <c r="D69" s="6" t="str">
        <f t="shared" si="3"/>
        <v>04/08/2024</v>
      </c>
      <c r="E69" s="6" t="str">
        <f t="shared" si="4"/>
        <v>NBI Index</v>
      </c>
      <c r="F69" s="5">
        <f t="shared" si="5"/>
        <v>1.3934870845256758E-3</v>
      </c>
    </row>
    <row r="70" spans="1:6" x14ac:dyDescent="0.35">
      <c r="A70" s="8">
        <v>45391</v>
      </c>
      <c r="B70" s="7">
        <v>1.0908241886528232E-2</v>
      </c>
      <c r="D70" s="6" t="str">
        <f t="shared" si="3"/>
        <v>04/09/2024</v>
      </c>
      <c r="E70" s="6" t="str">
        <f t="shared" si="4"/>
        <v>NBI Index</v>
      </c>
      <c r="F70" s="5">
        <f t="shared" si="5"/>
        <v>1.0908241886528232E-2</v>
      </c>
    </row>
    <row r="71" spans="1:6" x14ac:dyDescent="0.35">
      <c r="A71" s="10">
        <v>45392</v>
      </c>
      <c r="B71" s="9">
        <v>-1.5700784346331927E-2</v>
      </c>
      <c r="D71" s="6" t="str">
        <f t="shared" si="3"/>
        <v>04/10/2024</v>
      </c>
      <c r="E71" s="6" t="str">
        <f t="shared" si="4"/>
        <v>NBI Index</v>
      </c>
      <c r="F71" s="5">
        <f t="shared" si="5"/>
        <v>-1.5700784346331927E-2</v>
      </c>
    </row>
    <row r="72" spans="1:6" x14ac:dyDescent="0.35">
      <c r="A72" s="8">
        <v>45393</v>
      </c>
      <c r="B72" s="7">
        <v>5.9412352701010834E-3</v>
      </c>
      <c r="D72" s="6" t="str">
        <f t="shared" si="3"/>
        <v>04/11/2024</v>
      </c>
      <c r="E72" s="6" t="str">
        <f t="shared" si="4"/>
        <v>NBI Index</v>
      </c>
      <c r="F72" s="5">
        <f t="shared" si="5"/>
        <v>5.9412352701010834E-3</v>
      </c>
    </row>
    <row r="73" spans="1:6" x14ac:dyDescent="0.35">
      <c r="A73" s="10">
        <v>45394</v>
      </c>
      <c r="B73" s="9">
        <v>-2.144360004291989E-2</v>
      </c>
      <c r="D73" s="6" t="str">
        <f t="shared" si="3"/>
        <v>04/12/2024</v>
      </c>
      <c r="E73" s="6" t="str">
        <f t="shared" si="4"/>
        <v>NBI Index</v>
      </c>
      <c r="F73" s="5">
        <f t="shared" si="5"/>
        <v>-2.144360004291989E-2</v>
      </c>
    </row>
    <row r="74" spans="1:6" x14ac:dyDescent="0.35">
      <c r="A74" s="8">
        <v>45397</v>
      </c>
      <c r="B74" s="7">
        <v>-1.1174862280787541E-2</v>
      </c>
      <c r="D74" s="6" t="str">
        <f t="shared" si="3"/>
        <v>04/15/2024</v>
      </c>
      <c r="E74" s="6" t="str">
        <f t="shared" si="4"/>
        <v>NBI Index</v>
      </c>
      <c r="F74" s="5">
        <f t="shared" si="5"/>
        <v>-1.1174862280787541E-2</v>
      </c>
    </row>
    <row r="75" spans="1:6" x14ac:dyDescent="0.35">
      <c r="A75" s="10">
        <v>45398</v>
      </c>
      <c r="B75" s="9">
        <v>-6.7136744410295317E-3</v>
      </c>
      <c r="D75" s="6" t="str">
        <f t="shared" si="3"/>
        <v>04/16/2024</v>
      </c>
      <c r="E75" s="6" t="str">
        <f t="shared" si="4"/>
        <v>NBI Index</v>
      </c>
      <c r="F75" s="5">
        <f t="shared" si="5"/>
        <v>-6.7136744410295317E-3</v>
      </c>
    </row>
    <row r="76" spans="1:6" x14ac:dyDescent="0.35">
      <c r="A76" s="8">
        <v>45399</v>
      </c>
      <c r="B76" s="7">
        <v>-5.7858460343653021E-3</v>
      </c>
      <c r="D76" s="6" t="str">
        <f t="shared" si="3"/>
        <v>04/17/2024</v>
      </c>
      <c r="E76" s="6" t="str">
        <f t="shared" si="4"/>
        <v>NBI Index</v>
      </c>
      <c r="F76" s="5">
        <f t="shared" si="5"/>
        <v>-5.7858460343653021E-3</v>
      </c>
    </row>
    <row r="77" spans="1:6" x14ac:dyDescent="0.35">
      <c r="A77" s="10">
        <v>45400</v>
      </c>
      <c r="B77" s="9">
        <v>-9.827757923721479E-3</v>
      </c>
      <c r="D77" s="6" t="str">
        <f t="shared" si="3"/>
        <v>04/18/2024</v>
      </c>
      <c r="E77" s="6" t="str">
        <f t="shared" si="4"/>
        <v>NBI Index</v>
      </c>
      <c r="F77" s="5">
        <f t="shared" si="5"/>
        <v>-9.827757923721479E-3</v>
      </c>
    </row>
    <row r="78" spans="1:6" x14ac:dyDescent="0.35">
      <c r="A78" s="8">
        <v>45401</v>
      </c>
      <c r="B78" s="7">
        <v>1.989497818208594E-3</v>
      </c>
      <c r="D78" s="6" t="str">
        <f t="shared" si="3"/>
        <v>04/19/2024</v>
      </c>
      <c r="E78" s="6" t="str">
        <f t="shared" si="4"/>
        <v>NBI Index</v>
      </c>
      <c r="F78" s="5">
        <f t="shared" si="5"/>
        <v>1.989497818208594E-3</v>
      </c>
    </row>
    <row r="79" spans="1:6" x14ac:dyDescent="0.35">
      <c r="A79" s="10">
        <v>45404</v>
      </c>
      <c r="B79" s="9">
        <v>1.0454264744597437E-2</v>
      </c>
      <c r="D79" s="6" t="str">
        <f t="shared" si="3"/>
        <v>04/22/2024</v>
      </c>
      <c r="E79" s="6" t="str">
        <f t="shared" si="4"/>
        <v>NBI Index</v>
      </c>
      <c r="F79" s="5">
        <f t="shared" si="5"/>
        <v>1.0454264744597437E-2</v>
      </c>
    </row>
    <row r="80" spans="1:6" x14ac:dyDescent="0.35">
      <c r="A80" s="8">
        <v>45405</v>
      </c>
      <c r="B80" s="7">
        <v>1.2902801653818428E-2</v>
      </c>
      <c r="D80" s="6" t="str">
        <f t="shared" si="3"/>
        <v>04/23/2024</v>
      </c>
      <c r="E80" s="6" t="str">
        <f t="shared" si="4"/>
        <v>NBI Index</v>
      </c>
      <c r="F80" s="5">
        <f t="shared" si="5"/>
        <v>1.2902801653818428E-2</v>
      </c>
    </row>
    <row r="81" spans="1:6" x14ac:dyDescent="0.35">
      <c r="A81" s="10">
        <v>45406</v>
      </c>
      <c r="B81" s="9">
        <v>-2.5457648713295435E-3</v>
      </c>
      <c r="D81" s="6" t="str">
        <f t="shared" si="3"/>
        <v>04/24/2024</v>
      </c>
      <c r="E81" s="6" t="str">
        <f t="shared" si="4"/>
        <v>NBI Index</v>
      </c>
      <c r="F81" s="5">
        <f t="shared" si="5"/>
        <v>-2.5457648713295435E-3</v>
      </c>
    </row>
    <row r="82" spans="1:6" x14ac:dyDescent="0.35">
      <c r="A82" s="8">
        <v>45407</v>
      </c>
      <c r="B82" s="7">
        <v>-1.2448002776398638E-2</v>
      </c>
      <c r="D82" s="6" t="str">
        <f t="shared" si="3"/>
        <v>04/25/2024</v>
      </c>
      <c r="E82" s="6" t="str">
        <f t="shared" si="4"/>
        <v>NBI Index</v>
      </c>
      <c r="F82" s="5">
        <f t="shared" si="5"/>
        <v>-1.2448002776398638E-2</v>
      </c>
    </row>
    <row r="83" spans="1:6" x14ac:dyDescent="0.35">
      <c r="A83" s="10">
        <v>45408</v>
      </c>
      <c r="B83" s="9">
        <v>8.9930471665189936E-3</v>
      </c>
      <c r="D83" s="6" t="str">
        <f t="shared" si="3"/>
        <v>04/26/2024</v>
      </c>
      <c r="E83" s="6" t="str">
        <f t="shared" si="4"/>
        <v>NBI Index</v>
      </c>
      <c r="F83" s="5">
        <f t="shared" si="5"/>
        <v>8.9930471665189936E-3</v>
      </c>
    </row>
    <row r="84" spans="1:6" x14ac:dyDescent="0.35">
      <c r="A84" s="8">
        <v>45411</v>
      </c>
      <c r="B84" s="7">
        <v>1.7160644920981266E-2</v>
      </c>
      <c r="D84" s="6" t="str">
        <f t="shared" si="3"/>
        <v>04/29/2024</v>
      </c>
      <c r="E84" s="6" t="str">
        <f t="shared" si="4"/>
        <v>NBI Index</v>
      </c>
      <c r="F84" s="5">
        <f t="shared" si="5"/>
        <v>1.7160644920981266E-2</v>
      </c>
    </row>
    <row r="85" spans="1:6" x14ac:dyDescent="0.35">
      <c r="A85" s="10">
        <v>45412</v>
      </c>
      <c r="B85" s="9">
        <v>-1.0243947676921035E-2</v>
      </c>
      <c r="D85" s="6" t="str">
        <f t="shared" si="3"/>
        <v>04/30/2024</v>
      </c>
      <c r="E85" s="6" t="str">
        <f t="shared" si="4"/>
        <v>NBI Index</v>
      </c>
      <c r="F85" s="5">
        <f t="shared" si="5"/>
        <v>-1.0243947676921035E-2</v>
      </c>
    </row>
    <row r="86" spans="1:6" x14ac:dyDescent="0.35">
      <c r="A86" s="8">
        <v>45413</v>
      </c>
      <c r="B86" s="7">
        <v>2.1785874738427857E-2</v>
      </c>
      <c r="D86" s="6" t="str">
        <f t="shared" si="3"/>
        <v>05/01/2024</v>
      </c>
      <c r="E86" s="6" t="str">
        <f t="shared" si="4"/>
        <v>NBI Index</v>
      </c>
      <c r="F86" s="5">
        <f t="shared" si="5"/>
        <v>2.1785874738427857E-2</v>
      </c>
    </row>
    <row r="87" spans="1:6" x14ac:dyDescent="0.35">
      <c r="A87" s="10">
        <v>45414</v>
      </c>
      <c r="B87" s="9">
        <v>1.2588731275026336E-2</v>
      </c>
      <c r="D87" s="6" t="str">
        <f t="shared" si="3"/>
        <v>05/02/2024</v>
      </c>
      <c r="E87" s="6" t="str">
        <f t="shared" si="4"/>
        <v>NBI Index</v>
      </c>
      <c r="F87" s="5">
        <f t="shared" si="5"/>
        <v>1.2588731275026336E-2</v>
      </c>
    </row>
    <row r="88" spans="1:6" x14ac:dyDescent="0.35">
      <c r="A88" s="8">
        <v>45415</v>
      </c>
      <c r="B88" s="7">
        <v>1.6623515342907996E-2</v>
      </c>
      <c r="D88" s="6" t="str">
        <f t="shared" si="3"/>
        <v>05/03/2024</v>
      </c>
      <c r="E88" s="6" t="str">
        <f t="shared" si="4"/>
        <v>NBI Index</v>
      </c>
      <c r="F88" s="5">
        <f t="shared" si="5"/>
        <v>1.6623515342907996E-2</v>
      </c>
    </row>
    <row r="89" spans="1:6" x14ac:dyDescent="0.35">
      <c r="A89" s="10">
        <v>45418</v>
      </c>
      <c r="B89" s="9">
        <v>-1.8569529526236185E-3</v>
      </c>
      <c r="D89" s="6" t="str">
        <f t="shared" si="3"/>
        <v>05/06/2024</v>
      </c>
      <c r="E89" s="6" t="str">
        <f t="shared" si="4"/>
        <v>NBI Index</v>
      </c>
      <c r="F89" s="5">
        <f t="shared" si="5"/>
        <v>-1.8569529526236185E-3</v>
      </c>
    </row>
    <row r="90" spans="1:6" x14ac:dyDescent="0.35">
      <c r="A90" s="8">
        <v>45419</v>
      </c>
      <c r="B90" s="7">
        <v>2.1281415832000009E-3</v>
      </c>
      <c r="D90" s="6" t="str">
        <f t="shared" si="3"/>
        <v>05/07/2024</v>
      </c>
      <c r="E90" s="6" t="str">
        <f t="shared" si="4"/>
        <v>NBI Index</v>
      </c>
      <c r="F90" s="5">
        <f t="shared" si="5"/>
        <v>2.1281415832000009E-3</v>
      </c>
    </row>
    <row r="91" spans="1:6" x14ac:dyDescent="0.35">
      <c r="A91" s="10">
        <v>45420</v>
      </c>
      <c r="B91" s="9">
        <v>-5.605905953221019E-3</v>
      </c>
      <c r="D91" s="6" t="str">
        <f t="shared" si="3"/>
        <v>05/08/2024</v>
      </c>
      <c r="E91" s="6" t="str">
        <f t="shared" si="4"/>
        <v>NBI Index</v>
      </c>
      <c r="F91" s="5">
        <f t="shared" si="5"/>
        <v>-5.605905953221019E-3</v>
      </c>
    </row>
    <row r="92" spans="1:6" x14ac:dyDescent="0.35">
      <c r="A92" s="8">
        <v>45421</v>
      </c>
      <c r="B92" s="7">
        <v>3.044386831880568E-3</v>
      </c>
      <c r="D92" s="6" t="str">
        <f t="shared" si="3"/>
        <v>05/09/2024</v>
      </c>
      <c r="E92" s="6" t="str">
        <f t="shared" si="4"/>
        <v>NBI Index</v>
      </c>
      <c r="F92" s="5">
        <f t="shared" si="5"/>
        <v>3.044386831880568E-3</v>
      </c>
    </row>
    <row r="93" spans="1:6" x14ac:dyDescent="0.35">
      <c r="A93" s="10">
        <v>45422</v>
      </c>
      <c r="B93" s="9">
        <v>-8.4802059805840838E-3</v>
      </c>
      <c r="D93" s="6" t="str">
        <f t="shared" si="3"/>
        <v>05/10/2024</v>
      </c>
      <c r="E93" s="6" t="str">
        <f t="shared" si="4"/>
        <v>NBI Index</v>
      </c>
      <c r="F93" s="5">
        <f t="shared" si="5"/>
        <v>-8.4802059805840838E-3</v>
      </c>
    </row>
    <row r="94" spans="1:6" x14ac:dyDescent="0.35">
      <c r="A94" s="8">
        <v>45425</v>
      </c>
      <c r="B94" s="7">
        <v>1.2933065954477851E-2</v>
      </c>
      <c r="D94" s="6" t="str">
        <f t="shared" si="3"/>
        <v>05/13/2024</v>
      </c>
      <c r="E94" s="6" t="str">
        <f t="shared" si="4"/>
        <v>NBI Index</v>
      </c>
      <c r="F94" s="5">
        <f t="shared" si="5"/>
        <v>1.2933065954477851E-2</v>
      </c>
    </row>
    <row r="95" spans="1:6" x14ac:dyDescent="0.35">
      <c r="A95" s="10">
        <v>45426</v>
      </c>
      <c r="B95" s="9">
        <v>4.6528389159797776E-3</v>
      </c>
      <c r="D95" s="6" t="str">
        <f t="shared" si="3"/>
        <v>05/14/2024</v>
      </c>
      <c r="E95" s="6" t="str">
        <f t="shared" si="4"/>
        <v>NBI Index</v>
      </c>
      <c r="F95" s="5">
        <f t="shared" si="5"/>
        <v>4.6528389159797776E-3</v>
      </c>
    </row>
    <row r="96" spans="1:6" x14ac:dyDescent="0.35">
      <c r="A96" s="8">
        <v>45427</v>
      </c>
      <c r="B96" s="7">
        <v>1.1589576872607759E-2</v>
      </c>
      <c r="D96" s="6" t="str">
        <f t="shared" si="3"/>
        <v>05/15/2024</v>
      </c>
      <c r="E96" s="6" t="str">
        <f t="shared" si="4"/>
        <v>NBI Index</v>
      </c>
      <c r="F96" s="5">
        <f t="shared" si="5"/>
        <v>1.1589576872607759E-2</v>
      </c>
    </row>
    <row r="97" spans="1:6" x14ac:dyDescent="0.35">
      <c r="A97" s="10">
        <v>45428</v>
      </c>
      <c r="B97" s="9">
        <v>8.3113735364668452E-5</v>
      </c>
      <c r="D97" s="6" t="str">
        <f t="shared" si="3"/>
        <v>05/16/2024</v>
      </c>
      <c r="E97" s="6" t="str">
        <f t="shared" si="4"/>
        <v>NBI Index</v>
      </c>
      <c r="F97" s="5">
        <f t="shared" si="5"/>
        <v>8.3113735364668452E-5</v>
      </c>
    </row>
    <row r="98" spans="1:6" x14ac:dyDescent="0.35">
      <c r="A98" s="8">
        <v>45429</v>
      </c>
      <c r="B98" s="7">
        <v>-4.4667921291032938E-3</v>
      </c>
      <c r="D98" s="6" t="str">
        <f t="shared" si="3"/>
        <v>05/17/2024</v>
      </c>
      <c r="E98" s="6" t="str">
        <f t="shared" si="4"/>
        <v>NBI Index</v>
      </c>
      <c r="F98" s="5">
        <f t="shared" si="5"/>
        <v>-4.4667921291032938E-3</v>
      </c>
    </row>
    <row r="99" spans="1:6" x14ac:dyDescent="0.35">
      <c r="A99" s="10">
        <v>45432</v>
      </c>
      <c r="B99" s="9">
        <v>7.9923843382650878E-3</v>
      </c>
      <c r="D99" s="6" t="str">
        <f t="shared" si="3"/>
        <v>05/20/2024</v>
      </c>
      <c r="E99" s="6" t="str">
        <f t="shared" si="4"/>
        <v>NBI Index</v>
      </c>
      <c r="F99" s="5">
        <f t="shared" si="5"/>
        <v>7.9923843382650878E-3</v>
      </c>
    </row>
    <row r="100" spans="1:6" x14ac:dyDescent="0.35">
      <c r="A100" s="8">
        <v>45433</v>
      </c>
      <c r="B100" s="7">
        <v>-3.5560827141704423E-3</v>
      </c>
      <c r="D100" s="6" t="str">
        <f t="shared" si="3"/>
        <v>05/21/2024</v>
      </c>
      <c r="E100" s="6" t="str">
        <f t="shared" si="4"/>
        <v>NBI Index</v>
      </c>
      <c r="F100" s="5">
        <f t="shared" si="5"/>
        <v>-3.5560827141704423E-3</v>
      </c>
    </row>
    <row r="101" spans="1:6" x14ac:dyDescent="0.35">
      <c r="A101" s="10">
        <v>45434</v>
      </c>
      <c r="B101" s="9">
        <v>9.0488286382287512E-3</v>
      </c>
      <c r="D101" s="6" t="str">
        <f t="shared" si="3"/>
        <v>05/22/2024</v>
      </c>
      <c r="E101" s="6" t="str">
        <f t="shared" si="4"/>
        <v>NBI Index</v>
      </c>
      <c r="F101" s="5">
        <f t="shared" si="5"/>
        <v>9.0488286382287512E-3</v>
      </c>
    </row>
    <row r="102" spans="1:6" x14ac:dyDescent="0.35">
      <c r="A102" s="8">
        <v>45435</v>
      </c>
      <c r="B102" s="7">
        <v>-1.6807756855413022E-2</v>
      </c>
      <c r="D102" s="6" t="str">
        <f t="shared" si="3"/>
        <v>05/23/2024</v>
      </c>
      <c r="E102" s="6" t="str">
        <f t="shared" si="4"/>
        <v>NBI Index</v>
      </c>
      <c r="F102" s="5">
        <f t="shared" si="5"/>
        <v>-1.6807756855413022E-2</v>
      </c>
    </row>
    <row r="103" spans="1:6" x14ac:dyDescent="0.35">
      <c r="A103" s="10">
        <v>45436</v>
      </c>
      <c r="B103" s="9">
        <v>7.788743906550975E-4</v>
      </c>
      <c r="D103" s="6" t="str">
        <f t="shared" si="3"/>
        <v>05/24/2024</v>
      </c>
      <c r="E103" s="6" t="str">
        <f t="shared" si="4"/>
        <v>NBI Index</v>
      </c>
      <c r="F103" s="5">
        <f t="shared" si="5"/>
        <v>7.788743906550975E-4</v>
      </c>
    </row>
    <row r="104" spans="1:6" x14ac:dyDescent="0.35">
      <c r="A104" s="8">
        <v>45440</v>
      </c>
      <c r="B104" s="7">
        <v>-1.2759978914361021E-2</v>
      </c>
      <c r="D104" s="6" t="str">
        <f t="shared" si="3"/>
        <v>05/28/2024</v>
      </c>
      <c r="E104" s="6" t="str">
        <f t="shared" si="4"/>
        <v>NBI Index</v>
      </c>
      <c r="F104" s="5">
        <f t="shared" si="5"/>
        <v>-1.2759978914361021E-2</v>
      </c>
    </row>
    <row r="105" spans="1:6" x14ac:dyDescent="0.35">
      <c r="A105" s="10">
        <v>45441</v>
      </c>
      <c r="B105" s="9">
        <v>-1.18844917237094E-2</v>
      </c>
      <c r="D105" s="6" t="str">
        <f t="shared" si="3"/>
        <v>05/29/2024</v>
      </c>
      <c r="E105" s="6" t="str">
        <f t="shared" si="4"/>
        <v>NBI Index</v>
      </c>
      <c r="F105" s="5">
        <f t="shared" si="5"/>
        <v>-1.18844917237094E-2</v>
      </c>
    </row>
    <row r="106" spans="1:6" x14ac:dyDescent="0.35">
      <c r="A106" s="8">
        <v>45442</v>
      </c>
      <c r="B106" s="7">
        <v>1.7528601677717675E-2</v>
      </c>
      <c r="D106" s="6" t="str">
        <f t="shared" si="3"/>
        <v>05/30/2024</v>
      </c>
      <c r="E106" s="6" t="str">
        <f t="shared" si="4"/>
        <v>NBI Index</v>
      </c>
      <c r="F106" s="5">
        <f t="shared" si="5"/>
        <v>1.7528601677717675E-2</v>
      </c>
    </row>
    <row r="107" spans="1:6" x14ac:dyDescent="0.35">
      <c r="A107" s="10">
        <v>45443</v>
      </c>
      <c r="B107" s="9">
        <v>3.1248646689717562E-3</v>
      </c>
      <c r="D107" s="6" t="str">
        <f t="shared" si="3"/>
        <v>05/31/2024</v>
      </c>
      <c r="E107" s="6" t="str">
        <f t="shared" si="4"/>
        <v>NBI Index</v>
      </c>
      <c r="F107" s="5">
        <f t="shared" si="5"/>
        <v>3.1248646689717562E-3</v>
      </c>
    </row>
    <row r="108" spans="1:6" x14ac:dyDescent="0.35">
      <c r="A108" s="8">
        <v>45446</v>
      </c>
      <c r="B108" s="7">
        <v>1.5093953784281019E-2</v>
      </c>
      <c r="D108" s="6" t="str">
        <f t="shared" si="3"/>
        <v>06/03/2024</v>
      </c>
      <c r="E108" s="6" t="str">
        <f t="shared" si="4"/>
        <v>NBI Index</v>
      </c>
      <c r="F108" s="5">
        <f t="shared" si="5"/>
        <v>1.5093953784281019E-2</v>
      </c>
    </row>
    <row r="109" spans="1:6" x14ac:dyDescent="0.35">
      <c r="A109" s="10">
        <v>45447</v>
      </c>
      <c r="B109" s="9">
        <v>-1.4840415173486045E-3</v>
      </c>
      <c r="D109" s="6" t="str">
        <f t="shared" si="3"/>
        <v>06/04/2024</v>
      </c>
      <c r="E109" s="6" t="str">
        <f t="shared" si="4"/>
        <v>NBI Index</v>
      </c>
      <c r="F109" s="5">
        <f t="shared" si="5"/>
        <v>-1.4840415173486045E-3</v>
      </c>
    </row>
    <row r="110" spans="1:6" x14ac:dyDescent="0.35">
      <c r="A110" s="8">
        <v>45448</v>
      </c>
      <c r="B110" s="7">
        <v>1.9438067206169245E-2</v>
      </c>
      <c r="D110" s="6" t="str">
        <f t="shared" si="3"/>
        <v>06/05/2024</v>
      </c>
      <c r="E110" s="6" t="str">
        <f t="shared" si="4"/>
        <v>NBI Index</v>
      </c>
      <c r="F110" s="5">
        <f t="shared" si="5"/>
        <v>1.9438067206169245E-2</v>
      </c>
    </row>
    <row r="111" spans="1:6" x14ac:dyDescent="0.35">
      <c r="A111" s="10">
        <v>45449</v>
      </c>
      <c r="B111" s="9">
        <v>-3.9603307238983351E-3</v>
      </c>
      <c r="D111" s="6" t="str">
        <f t="shared" si="3"/>
        <v>06/06/2024</v>
      </c>
      <c r="E111" s="6" t="str">
        <f t="shared" si="4"/>
        <v>NBI Index</v>
      </c>
      <c r="F111" s="5">
        <f t="shared" si="5"/>
        <v>-3.9603307238983351E-3</v>
      </c>
    </row>
    <row r="112" spans="1:6" x14ac:dyDescent="0.35">
      <c r="A112" s="8">
        <v>45450</v>
      </c>
      <c r="B112" s="7">
        <v>-6.1484593528332715E-3</v>
      </c>
      <c r="D112" s="6" t="str">
        <f t="shared" si="3"/>
        <v>06/07/2024</v>
      </c>
      <c r="E112" s="6" t="str">
        <f t="shared" si="4"/>
        <v>NBI Index</v>
      </c>
      <c r="F112" s="5">
        <f t="shared" si="5"/>
        <v>-6.1484593528332715E-3</v>
      </c>
    </row>
    <row r="113" spans="1:6" x14ac:dyDescent="0.35">
      <c r="A113" s="10">
        <v>45453</v>
      </c>
      <c r="B113" s="9">
        <v>2.6811854971634836E-3</v>
      </c>
      <c r="D113" s="6" t="str">
        <f t="shared" si="3"/>
        <v>06/10/2024</v>
      </c>
      <c r="E113" s="6" t="str">
        <f t="shared" si="4"/>
        <v>NBI Index</v>
      </c>
      <c r="F113" s="5">
        <f t="shared" si="5"/>
        <v>2.6811854971634836E-3</v>
      </c>
    </row>
    <row r="114" spans="1:6" x14ac:dyDescent="0.35">
      <c r="A114" s="8">
        <v>45454</v>
      </c>
      <c r="B114" s="7">
        <v>-1.8831098340444147E-4</v>
      </c>
      <c r="D114" s="6" t="str">
        <f t="shared" si="3"/>
        <v>06/11/2024</v>
      </c>
      <c r="E114" s="6" t="str">
        <f t="shared" si="4"/>
        <v>NBI Index</v>
      </c>
      <c r="F114" s="5">
        <f t="shared" si="5"/>
        <v>-1.8831098340444147E-4</v>
      </c>
    </row>
    <row r="115" spans="1:6" x14ac:dyDescent="0.35">
      <c r="A115" s="10">
        <v>45455</v>
      </c>
      <c r="B115" s="9">
        <v>7.2878997376445952E-3</v>
      </c>
      <c r="D115" s="6" t="str">
        <f t="shared" si="3"/>
        <v>06/12/2024</v>
      </c>
      <c r="E115" s="6" t="str">
        <f t="shared" si="4"/>
        <v>NBI Index</v>
      </c>
      <c r="F115" s="5">
        <f t="shared" si="5"/>
        <v>7.2878997376445952E-3</v>
      </c>
    </row>
    <row r="116" spans="1:6" x14ac:dyDescent="0.35">
      <c r="A116" s="8">
        <v>45456</v>
      </c>
      <c r="B116" s="7">
        <v>-1.5134683282554055E-3</v>
      </c>
      <c r="D116" s="6" t="str">
        <f t="shared" si="3"/>
        <v>06/13/2024</v>
      </c>
      <c r="E116" s="6" t="str">
        <f t="shared" si="4"/>
        <v>NBI Index</v>
      </c>
      <c r="F116" s="5">
        <f t="shared" si="5"/>
        <v>-1.5134683282554055E-3</v>
      </c>
    </row>
    <row r="117" spans="1:6" x14ac:dyDescent="0.35">
      <c r="A117" s="10">
        <v>45457</v>
      </c>
      <c r="B117" s="9">
        <v>-7.0340356953230414E-3</v>
      </c>
      <c r="D117" s="6" t="str">
        <f t="shared" si="3"/>
        <v>06/14/2024</v>
      </c>
      <c r="E117" s="6" t="str">
        <f t="shared" si="4"/>
        <v>NBI Index</v>
      </c>
      <c r="F117" s="5">
        <f t="shared" si="5"/>
        <v>-7.0340356953230414E-3</v>
      </c>
    </row>
    <row r="118" spans="1:6" x14ac:dyDescent="0.35">
      <c r="A118" s="8">
        <v>45460</v>
      </c>
      <c r="B118" s="7">
        <v>-7.3947907807166294E-3</v>
      </c>
      <c r="D118" s="6" t="str">
        <f t="shared" si="3"/>
        <v>06/17/2024</v>
      </c>
      <c r="E118" s="6" t="str">
        <f t="shared" si="4"/>
        <v>NBI Index</v>
      </c>
      <c r="F118" s="5">
        <f t="shared" si="5"/>
        <v>-7.3947907807166294E-3</v>
      </c>
    </row>
    <row r="119" spans="1:6" x14ac:dyDescent="0.35">
      <c r="A119" s="10">
        <v>45461</v>
      </c>
      <c r="B119" s="9">
        <v>-9.2732003391596419E-3</v>
      </c>
      <c r="D119" s="6" t="str">
        <f t="shared" si="3"/>
        <v>06/18/2024</v>
      </c>
      <c r="E119" s="6" t="str">
        <f t="shared" si="4"/>
        <v>NBI Index</v>
      </c>
      <c r="F119" s="5">
        <f t="shared" si="5"/>
        <v>-9.2732003391596419E-3</v>
      </c>
    </row>
    <row r="120" spans="1:6" x14ac:dyDescent="0.35">
      <c r="A120" s="8">
        <v>45463</v>
      </c>
      <c r="B120" s="7">
        <v>1.0308416997484336E-2</v>
      </c>
      <c r="D120" s="6" t="str">
        <f t="shared" si="3"/>
        <v>06/20/2024</v>
      </c>
      <c r="E120" s="6" t="str">
        <f t="shared" si="4"/>
        <v>NBI Index</v>
      </c>
      <c r="F120" s="5">
        <f t="shared" si="5"/>
        <v>1.0308416997484336E-2</v>
      </c>
    </row>
    <row r="121" spans="1:6" x14ac:dyDescent="0.35">
      <c r="A121" s="10">
        <v>45464</v>
      </c>
      <c r="B121" s="9">
        <v>1.4660029905656411E-2</v>
      </c>
      <c r="D121" s="6" t="str">
        <f t="shared" si="3"/>
        <v>06/21/2024</v>
      </c>
      <c r="E121" s="6" t="str">
        <f t="shared" si="4"/>
        <v>NBI Index</v>
      </c>
      <c r="F121" s="5">
        <f t="shared" si="5"/>
        <v>1.4660029905656411E-2</v>
      </c>
    </row>
    <row r="122" spans="1:6" x14ac:dyDescent="0.35">
      <c r="A122" s="8">
        <v>45467</v>
      </c>
      <c r="B122" s="7">
        <v>2.0829753770106089E-2</v>
      </c>
      <c r="D122" s="6" t="str">
        <f t="shared" si="3"/>
        <v>06/24/2024</v>
      </c>
      <c r="E122" s="6" t="str">
        <f t="shared" si="4"/>
        <v>NBI Index</v>
      </c>
      <c r="F122" s="5">
        <f t="shared" si="5"/>
        <v>2.0829753770106089E-2</v>
      </c>
    </row>
    <row r="123" spans="1:6" x14ac:dyDescent="0.35">
      <c r="A123" s="10">
        <v>45468</v>
      </c>
      <c r="B123" s="9">
        <v>-2.0758617415659185E-3</v>
      </c>
      <c r="D123" s="6" t="str">
        <f t="shared" si="3"/>
        <v>06/25/2024</v>
      </c>
      <c r="E123" s="6" t="str">
        <f t="shared" si="4"/>
        <v>NBI Index</v>
      </c>
      <c r="F123" s="5">
        <f t="shared" si="5"/>
        <v>-2.0758617415659185E-3</v>
      </c>
    </row>
    <row r="124" spans="1:6" x14ac:dyDescent="0.35">
      <c r="A124" s="8">
        <v>45469</v>
      </c>
      <c r="B124" s="7">
        <v>-1.4342862085369517E-2</v>
      </c>
      <c r="D124" s="6" t="str">
        <f t="shared" si="3"/>
        <v>06/26/2024</v>
      </c>
      <c r="E124" s="6" t="str">
        <f t="shared" si="4"/>
        <v>NBI Index</v>
      </c>
      <c r="F124" s="5">
        <f t="shared" si="5"/>
        <v>-1.4342862085369517E-2</v>
      </c>
    </row>
    <row r="125" spans="1:6" x14ac:dyDescent="0.35">
      <c r="A125" s="10">
        <v>45470</v>
      </c>
      <c r="B125" s="9">
        <v>1.0420620103678833E-3</v>
      </c>
      <c r="D125" s="6" t="str">
        <f t="shared" si="3"/>
        <v>06/27/2024</v>
      </c>
      <c r="E125" s="6" t="str">
        <f t="shared" si="4"/>
        <v>NBI Index</v>
      </c>
      <c r="F125" s="5">
        <f t="shared" si="5"/>
        <v>1.0420620103678833E-3</v>
      </c>
    </row>
    <row r="126" spans="1:6" x14ac:dyDescent="0.35">
      <c r="A126" s="8">
        <v>45471</v>
      </c>
      <c r="B126" s="7">
        <v>-3.8877760781238471E-3</v>
      </c>
      <c r="D126" s="6" t="str">
        <f t="shared" si="3"/>
        <v>06/28/2024</v>
      </c>
      <c r="E126" s="6" t="str">
        <f t="shared" si="4"/>
        <v>NBI Index</v>
      </c>
      <c r="F126" s="5">
        <f t="shared" si="5"/>
        <v>-3.8877760781238471E-3</v>
      </c>
    </row>
    <row r="127" spans="1:6" x14ac:dyDescent="0.35">
      <c r="A127" s="10">
        <v>45474</v>
      </c>
      <c r="B127" s="9">
        <v>3.4761334835251283E-4</v>
      </c>
      <c r="D127" s="6" t="str">
        <f t="shared" si="3"/>
        <v>07/01/2024</v>
      </c>
      <c r="E127" s="6" t="str">
        <f t="shared" si="4"/>
        <v>NBI Index</v>
      </c>
      <c r="F127" s="5">
        <f t="shared" si="5"/>
        <v>3.4761334835251283E-4</v>
      </c>
    </row>
    <row r="128" spans="1:6" x14ac:dyDescent="0.35">
      <c r="A128" s="8">
        <v>45475</v>
      </c>
      <c r="B128" s="7">
        <v>-1.0943816172039371E-2</v>
      </c>
      <c r="D128" s="6" t="str">
        <f t="shared" si="3"/>
        <v>07/02/2024</v>
      </c>
      <c r="E128" s="6" t="str">
        <f t="shared" si="4"/>
        <v>NBI Index</v>
      </c>
      <c r="F128" s="5">
        <f t="shared" si="5"/>
        <v>-1.0943816172039371E-2</v>
      </c>
    </row>
    <row r="129" spans="1:6" x14ac:dyDescent="0.35">
      <c r="A129" s="10">
        <v>45476</v>
      </c>
      <c r="B129" s="9">
        <v>-7.5804407284694592E-3</v>
      </c>
      <c r="D129" s="6" t="str">
        <f t="shared" si="3"/>
        <v>07/03/2024</v>
      </c>
      <c r="E129" s="6" t="str">
        <f t="shared" si="4"/>
        <v>NBI Index</v>
      </c>
      <c r="F129" s="5">
        <f t="shared" si="5"/>
        <v>-7.5804407284694592E-3</v>
      </c>
    </row>
    <row r="130" spans="1:6" x14ac:dyDescent="0.35">
      <c r="A130" s="8">
        <v>45478</v>
      </c>
      <c r="B130" s="7">
        <v>9.3613951122671069E-3</v>
      </c>
      <c r="D130" s="6" t="str">
        <f t="shared" si="3"/>
        <v>07/05/2024</v>
      </c>
      <c r="E130" s="6" t="str">
        <f t="shared" si="4"/>
        <v>NBI Index</v>
      </c>
      <c r="F130" s="5">
        <f t="shared" si="5"/>
        <v>9.3613951122671069E-3</v>
      </c>
    </row>
    <row r="131" spans="1:6" x14ac:dyDescent="0.35">
      <c r="A131" s="10">
        <v>45481</v>
      </c>
      <c r="B131" s="9">
        <v>1.3336914706345893E-2</v>
      </c>
      <c r="D131" s="6" t="str">
        <f t="shared" ref="D131:D194" si="6">IF(A131 =  "", "",  TEXT(A131, "mm/dd/yyyy"))</f>
        <v>07/08/2024</v>
      </c>
      <c r="E131" s="6" t="str">
        <f t="shared" ref="E131:E194" si="7">IF(A131="", "", EntityLocal)</f>
        <v>NBI Index</v>
      </c>
      <c r="F131" s="5">
        <f t="shared" ref="F131:F194" si="8">IF(B131="","", B131)</f>
        <v>1.3336914706345893E-2</v>
      </c>
    </row>
    <row r="132" spans="1:6" x14ac:dyDescent="0.35">
      <c r="A132" s="8">
        <v>45482</v>
      </c>
      <c r="B132" s="7">
        <v>9.6191129210690049E-3</v>
      </c>
      <c r="D132" s="6" t="str">
        <f t="shared" si="6"/>
        <v>07/09/2024</v>
      </c>
      <c r="E132" s="6" t="str">
        <f t="shared" si="7"/>
        <v>NBI Index</v>
      </c>
      <c r="F132" s="5">
        <f t="shared" si="8"/>
        <v>9.6191129210690049E-3</v>
      </c>
    </row>
    <row r="133" spans="1:6" x14ac:dyDescent="0.35">
      <c r="A133" s="10">
        <v>45483</v>
      </c>
      <c r="B133" s="9">
        <v>1.3452583981010121E-2</v>
      </c>
      <c r="D133" s="6" t="str">
        <f t="shared" si="6"/>
        <v>07/10/2024</v>
      </c>
      <c r="E133" s="6" t="str">
        <f t="shared" si="7"/>
        <v>NBI Index</v>
      </c>
      <c r="F133" s="5">
        <f t="shared" si="8"/>
        <v>1.3452583981010121E-2</v>
      </c>
    </row>
    <row r="134" spans="1:6" x14ac:dyDescent="0.35">
      <c r="A134" s="8">
        <v>45484</v>
      </c>
      <c r="B134" s="7">
        <v>2.2467339502181868E-2</v>
      </c>
      <c r="D134" s="6" t="str">
        <f t="shared" si="6"/>
        <v>07/11/2024</v>
      </c>
      <c r="E134" s="6" t="str">
        <f t="shared" si="7"/>
        <v>NBI Index</v>
      </c>
      <c r="F134" s="5">
        <f t="shared" si="8"/>
        <v>2.2467339502181868E-2</v>
      </c>
    </row>
    <row r="135" spans="1:6" x14ac:dyDescent="0.35">
      <c r="A135" s="10">
        <v>45485</v>
      </c>
      <c r="B135" s="9">
        <v>7.0334944259714096E-3</v>
      </c>
      <c r="D135" s="6" t="str">
        <f t="shared" si="6"/>
        <v>07/12/2024</v>
      </c>
      <c r="E135" s="6" t="str">
        <f t="shared" si="7"/>
        <v>NBI Index</v>
      </c>
      <c r="F135" s="5">
        <f t="shared" si="8"/>
        <v>7.0334944259714096E-3</v>
      </c>
    </row>
    <row r="136" spans="1:6" x14ac:dyDescent="0.35">
      <c r="A136" s="8">
        <v>45488</v>
      </c>
      <c r="B136" s="7">
        <v>2.3392129016428414E-3</v>
      </c>
      <c r="D136" s="6" t="str">
        <f t="shared" si="6"/>
        <v>07/15/2024</v>
      </c>
      <c r="E136" s="6" t="str">
        <f t="shared" si="7"/>
        <v>NBI Index</v>
      </c>
      <c r="F136" s="5">
        <f t="shared" si="8"/>
        <v>2.3392129016428414E-3</v>
      </c>
    </row>
    <row r="137" spans="1:6" x14ac:dyDescent="0.35">
      <c r="A137" s="10">
        <v>45489</v>
      </c>
      <c r="B137" s="9">
        <v>1.6628773420515466E-2</v>
      </c>
      <c r="D137" s="6" t="str">
        <f t="shared" si="6"/>
        <v>07/16/2024</v>
      </c>
      <c r="E137" s="6" t="str">
        <f t="shared" si="7"/>
        <v>NBI Index</v>
      </c>
      <c r="F137" s="5">
        <f t="shared" si="8"/>
        <v>1.6628773420515466E-2</v>
      </c>
    </row>
    <row r="138" spans="1:6" x14ac:dyDescent="0.35">
      <c r="A138" s="8">
        <v>45490</v>
      </c>
      <c r="B138" s="7">
        <v>-9.9801661796634425E-3</v>
      </c>
      <c r="D138" s="6" t="str">
        <f t="shared" si="6"/>
        <v>07/17/2024</v>
      </c>
      <c r="E138" s="6" t="str">
        <f t="shared" si="7"/>
        <v>NBI Index</v>
      </c>
      <c r="F138" s="5">
        <f t="shared" si="8"/>
        <v>-9.9801661796634425E-3</v>
      </c>
    </row>
    <row r="139" spans="1:6" x14ac:dyDescent="0.35">
      <c r="A139" s="10">
        <v>45491</v>
      </c>
      <c r="B139" s="9">
        <v>-1.4600736632308459E-2</v>
      </c>
      <c r="D139" s="6" t="str">
        <f t="shared" si="6"/>
        <v>07/18/2024</v>
      </c>
      <c r="E139" s="6" t="str">
        <f t="shared" si="7"/>
        <v>NBI Index</v>
      </c>
      <c r="F139" s="5">
        <f t="shared" si="8"/>
        <v>-1.4600736632308459E-2</v>
      </c>
    </row>
    <row r="140" spans="1:6" x14ac:dyDescent="0.35">
      <c r="A140" s="8">
        <v>45492</v>
      </c>
      <c r="B140" s="7">
        <v>-9.8306410623783458E-4</v>
      </c>
      <c r="D140" s="6" t="str">
        <f t="shared" si="6"/>
        <v>07/19/2024</v>
      </c>
      <c r="E140" s="6" t="str">
        <f t="shared" si="7"/>
        <v>NBI Index</v>
      </c>
      <c r="F140" s="5">
        <f t="shared" si="8"/>
        <v>-9.8306410623783458E-4</v>
      </c>
    </row>
    <row r="141" spans="1:6" x14ac:dyDescent="0.35">
      <c r="A141" s="10">
        <v>45495</v>
      </c>
      <c r="B141" s="9">
        <v>1.2266894459484083E-2</v>
      </c>
      <c r="D141" s="6" t="str">
        <f t="shared" si="6"/>
        <v>07/22/2024</v>
      </c>
      <c r="E141" s="6" t="str">
        <f t="shared" si="7"/>
        <v>NBI Index</v>
      </c>
      <c r="F141" s="5">
        <f t="shared" si="8"/>
        <v>1.2266894459484083E-2</v>
      </c>
    </row>
    <row r="142" spans="1:6" x14ac:dyDescent="0.35">
      <c r="A142" s="8">
        <v>45496</v>
      </c>
      <c r="B142" s="7">
        <v>-4.1200779340044022E-3</v>
      </c>
      <c r="D142" s="6" t="str">
        <f t="shared" si="6"/>
        <v>07/23/2024</v>
      </c>
      <c r="E142" s="6" t="str">
        <f t="shared" si="7"/>
        <v>NBI Index</v>
      </c>
      <c r="F142" s="5">
        <f t="shared" si="8"/>
        <v>-4.1200779340044022E-3</v>
      </c>
    </row>
    <row r="143" spans="1:6" x14ac:dyDescent="0.35">
      <c r="A143" s="10">
        <v>45497</v>
      </c>
      <c r="B143" s="9">
        <v>1.1630466838631659E-4</v>
      </c>
      <c r="D143" s="6" t="str">
        <f t="shared" si="6"/>
        <v>07/24/2024</v>
      </c>
      <c r="E143" s="6" t="str">
        <f t="shared" si="7"/>
        <v>NBI Index</v>
      </c>
      <c r="F143" s="5">
        <f t="shared" si="8"/>
        <v>1.1630466838631659E-4</v>
      </c>
    </row>
    <row r="144" spans="1:6" x14ac:dyDescent="0.35">
      <c r="A144" s="8">
        <v>45498</v>
      </c>
      <c r="B144" s="7">
        <v>1.1367459246184331E-2</v>
      </c>
      <c r="D144" s="6" t="str">
        <f t="shared" si="6"/>
        <v>07/25/2024</v>
      </c>
      <c r="E144" s="6" t="str">
        <f t="shared" si="7"/>
        <v>NBI Index</v>
      </c>
      <c r="F144" s="5">
        <f t="shared" si="8"/>
        <v>1.1367459246184331E-2</v>
      </c>
    </row>
    <row r="145" spans="1:6" x14ac:dyDescent="0.35">
      <c r="A145" s="10">
        <v>45499</v>
      </c>
      <c r="B145" s="9">
        <v>5.3919314037910709E-3</v>
      </c>
      <c r="D145" s="6" t="str">
        <f t="shared" si="6"/>
        <v>07/26/2024</v>
      </c>
      <c r="E145" s="6" t="str">
        <f t="shared" si="7"/>
        <v>NBI Index</v>
      </c>
      <c r="F145" s="5">
        <f t="shared" si="8"/>
        <v>5.3919314037910709E-3</v>
      </c>
    </row>
    <row r="146" spans="1:6" x14ac:dyDescent="0.35">
      <c r="A146" s="8">
        <v>45502</v>
      </c>
      <c r="B146" s="7">
        <v>-4.5338507096905544E-3</v>
      </c>
      <c r="D146" s="6" t="str">
        <f t="shared" si="6"/>
        <v>07/29/2024</v>
      </c>
      <c r="E146" s="6" t="str">
        <f t="shared" si="7"/>
        <v>NBI Index</v>
      </c>
      <c r="F146" s="5">
        <f t="shared" si="8"/>
        <v>-4.5338507096905544E-3</v>
      </c>
    </row>
    <row r="147" spans="1:6" x14ac:dyDescent="0.35">
      <c r="A147" s="10">
        <v>45503</v>
      </c>
      <c r="B147" s="9">
        <v>-4.7822251400201545E-3</v>
      </c>
      <c r="D147" s="6" t="str">
        <f t="shared" si="6"/>
        <v>07/30/2024</v>
      </c>
      <c r="E147" s="6" t="str">
        <f t="shared" si="7"/>
        <v>NBI Index</v>
      </c>
      <c r="F147" s="5">
        <f t="shared" si="8"/>
        <v>-4.7822251400201545E-3</v>
      </c>
    </row>
    <row r="148" spans="1:6" x14ac:dyDescent="0.35">
      <c r="A148" s="8">
        <v>45504</v>
      </c>
      <c r="B148" s="7">
        <v>-1.5110317687729428E-3</v>
      </c>
      <c r="D148" s="6" t="str">
        <f t="shared" si="6"/>
        <v>07/31/2024</v>
      </c>
      <c r="E148" s="6" t="str">
        <f t="shared" si="7"/>
        <v>NBI Index</v>
      </c>
      <c r="F148" s="5">
        <f t="shared" si="8"/>
        <v>-1.5110317687729428E-3</v>
      </c>
    </row>
    <row r="149" spans="1:6" x14ac:dyDescent="0.35">
      <c r="A149" s="10">
        <v>45505</v>
      </c>
      <c r="B149" s="9">
        <v>-7.0339371467031007E-3</v>
      </c>
      <c r="D149" s="6" t="str">
        <f t="shared" si="6"/>
        <v>08/01/2024</v>
      </c>
      <c r="E149" s="6" t="str">
        <f t="shared" si="7"/>
        <v>NBI Index</v>
      </c>
      <c r="F149" s="5">
        <f t="shared" si="8"/>
        <v>-7.0339371467031007E-3</v>
      </c>
    </row>
    <row r="150" spans="1:6" x14ac:dyDescent="0.35">
      <c r="A150" s="8">
        <v>45506</v>
      </c>
      <c r="B150" s="7">
        <v>-1.7286296752945633E-2</v>
      </c>
      <c r="D150" s="6" t="str">
        <f t="shared" si="6"/>
        <v>08/02/2024</v>
      </c>
      <c r="E150" s="6" t="str">
        <f t="shared" si="7"/>
        <v>NBI Index</v>
      </c>
      <c r="F150" s="5">
        <f t="shared" si="8"/>
        <v>-1.7286296752945633E-2</v>
      </c>
    </row>
    <row r="151" spans="1:6" x14ac:dyDescent="0.35">
      <c r="A151" s="10">
        <v>45509</v>
      </c>
      <c r="B151" s="9">
        <v>-2.8571126321023228E-2</v>
      </c>
      <c r="D151" s="6" t="str">
        <f t="shared" si="6"/>
        <v>08/05/2024</v>
      </c>
      <c r="E151" s="6" t="str">
        <f t="shared" si="7"/>
        <v>NBI Index</v>
      </c>
      <c r="F151" s="5">
        <f t="shared" si="8"/>
        <v>-2.8571126321023228E-2</v>
      </c>
    </row>
    <row r="152" spans="1:6" x14ac:dyDescent="0.35">
      <c r="A152" s="8">
        <v>45510</v>
      </c>
      <c r="B152" s="7">
        <v>3.7875075412563881E-3</v>
      </c>
      <c r="D152" s="6" t="str">
        <f t="shared" si="6"/>
        <v>08/06/2024</v>
      </c>
      <c r="E152" s="6" t="str">
        <f t="shared" si="7"/>
        <v>NBI Index</v>
      </c>
      <c r="F152" s="5">
        <f t="shared" si="8"/>
        <v>3.7875075412563881E-3</v>
      </c>
    </row>
    <row r="153" spans="1:6" x14ac:dyDescent="0.35">
      <c r="A153" s="10">
        <v>45511</v>
      </c>
      <c r="B153" s="9">
        <v>-1.3250737719145974E-2</v>
      </c>
      <c r="D153" s="6" t="str">
        <f t="shared" si="6"/>
        <v>08/07/2024</v>
      </c>
      <c r="E153" s="6" t="str">
        <f t="shared" si="7"/>
        <v>NBI Index</v>
      </c>
      <c r="F153" s="5">
        <f t="shared" si="8"/>
        <v>-1.3250737719145974E-2</v>
      </c>
    </row>
    <row r="154" spans="1:6" x14ac:dyDescent="0.35">
      <c r="A154" s="8">
        <v>45512</v>
      </c>
      <c r="B154" s="7">
        <v>2.6092138275579328E-2</v>
      </c>
      <c r="D154" s="6" t="str">
        <f t="shared" si="6"/>
        <v>08/08/2024</v>
      </c>
      <c r="E154" s="6" t="str">
        <f t="shared" si="7"/>
        <v>NBI Index</v>
      </c>
      <c r="F154" s="5">
        <f t="shared" si="8"/>
        <v>2.6092138275579328E-2</v>
      </c>
    </row>
    <row r="155" spans="1:6" x14ac:dyDescent="0.35">
      <c r="A155" s="10">
        <v>45513</v>
      </c>
      <c r="B155" s="9">
        <v>-6.0276080653350029E-4</v>
      </c>
      <c r="D155" s="6" t="str">
        <f t="shared" si="6"/>
        <v>08/09/2024</v>
      </c>
      <c r="E155" s="6" t="str">
        <f t="shared" si="7"/>
        <v>NBI Index</v>
      </c>
      <c r="F155" s="5">
        <f t="shared" si="8"/>
        <v>-6.0276080653350029E-4</v>
      </c>
    </row>
    <row r="156" spans="1:6" x14ac:dyDescent="0.35">
      <c r="A156" s="8">
        <v>45516</v>
      </c>
      <c r="B156" s="7">
        <v>-2.0933200356038108E-3</v>
      </c>
      <c r="D156" s="6" t="str">
        <f t="shared" si="6"/>
        <v>08/12/2024</v>
      </c>
      <c r="E156" s="6" t="str">
        <f t="shared" si="7"/>
        <v>NBI Index</v>
      </c>
      <c r="F156" s="5">
        <f t="shared" si="8"/>
        <v>-2.0933200356038108E-3</v>
      </c>
    </row>
    <row r="157" spans="1:6" x14ac:dyDescent="0.35">
      <c r="A157" s="10">
        <v>45517</v>
      </c>
      <c r="B157" s="9">
        <v>1.2304709748554217E-2</v>
      </c>
      <c r="D157" s="6" t="str">
        <f t="shared" si="6"/>
        <v>08/13/2024</v>
      </c>
      <c r="E157" s="6" t="str">
        <f t="shared" si="7"/>
        <v>NBI Index</v>
      </c>
      <c r="F157" s="5">
        <f t="shared" si="8"/>
        <v>1.2304709748554217E-2</v>
      </c>
    </row>
    <row r="158" spans="1:6" x14ac:dyDescent="0.35">
      <c r="A158" s="8">
        <v>45518</v>
      </c>
      <c r="B158" s="7">
        <v>-4.8323333205942459E-3</v>
      </c>
      <c r="D158" s="6" t="str">
        <f t="shared" si="6"/>
        <v>08/14/2024</v>
      </c>
      <c r="E158" s="6" t="str">
        <f t="shared" si="7"/>
        <v>NBI Index</v>
      </c>
      <c r="F158" s="5">
        <f t="shared" si="8"/>
        <v>-4.8323333205942459E-3</v>
      </c>
    </row>
    <row r="159" spans="1:6" x14ac:dyDescent="0.35">
      <c r="A159" s="10">
        <v>45519</v>
      </c>
      <c r="B159" s="9">
        <v>1.4650600147636819E-2</v>
      </c>
      <c r="D159" s="6" t="str">
        <f t="shared" si="6"/>
        <v>08/15/2024</v>
      </c>
      <c r="E159" s="6" t="str">
        <f t="shared" si="7"/>
        <v>NBI Index</v>
      </c>
      <c r="F159" s="5">
        <f t="shared" si="8"/>
        <v>1.4650600147636819E-2</v>
      </c>
    </row>
    <row r="160" spans="1:6" x14ac:dyDescent="0.35">
      <c r="A160" s="8">
        <v>45520</v>
      </c>
      <c r="B160" s="7">
        <v>-8.4834256757635221E-5</v>
      </c>
      <c r="D160" s="6" t="str">
        <f t="shared" si="6"/>
        <v>08/16/2024</v>
      </c>
      <c r="E160" s="6" t="str">
        <f t="shared" si="7"/>
        <v>NBI Index</v>
      </c>
      <c r="F160" s="5">
        <f t="shared" si="8"/>
        <v>-8.4834256757635221E-5</v>
      </c>
    </row>
    <row r="161" spans="1:6" x14ac:dyDescent="0.35">
      <c r="A161" s="10">
        <v>45523</v>
      </c>
      <c r="B161" s="9">
        <v>2.2073057823415607E-2</v>
      </c>
      <c r="D161" s="6" t="str">
        <f t="shared" si="6"/>
        <v>08/19/2024</v>
      </c>
      <c r="E161" s="6" t="str">
        <f t="shared" si="7"/>
        <v>NBI Index</v>
      </c>
      <c r="F161" s="5">
        <f t="shared" si="8"/>
        <v>2.2073057823415607E-2</v>
      </c>
    </row>
    <row r="162" spans="1:6" x14ac:dyDescent="0.35">
      <c r="A162" s="8">
        <v>45524</v>
      </c>
      <c r="B162" s="7">
        <v>-1.1220225228007496E-3</v>
      </c>
      <c r="D162" s="6" t="str">
        <f t="shared" si="6"/>
        <v>08/20/2024</v>
      </c>
      <c r="E162" s="6" t="str">
        <f t="shared" si="7"/>
        <v>NBI Index</v>
      </c>
      <c r="F162" s="5">
        <f t="shared" si="8"/>
        <v>-1.1220225228007496E-3</v>
      </c>
    </row>
    <row r="163" spans="1:6" x14ac:dyDescent="0.35">
      <c r="A163" s="10">
        <v>45525</v>
      </c>
      <c r="B163" s="9">
        <v>6.5480177664188569E-3</v>
      </c>
      <c r="D163" s="6" t="str">
        <f t="shared" si="6"/>
        <v>08/21/2024</v>
      </c>
      <c r="E163" s="6" t="str">
        <f t="shared" si="7"/>
        <v>NBI Index</v>
      </c>
      <c r="F163" s="5">
        <f t="shared" si="8"/>
        <v>6.5480177664188569E-3</v>
      </c>
    </row>
    <row r="164" spans="1:6" x14ac:dyDescent="0.35">
      <c r="A164" s="8">
        <v>45526</v>
      </c>
      <c r="B164" s="7">
        <v>-1.1681908092767168E-2</v>
      </c>
      <c r="D164" s="6" t="str">
        <f t="shared" si="6"/>
        <v>08/22/2024</v>
      </c>
      <c r="E164" s="6" t="str">
        <f t="shared" si="7"/>
        <v>NBI Index</v>
      </c>
      <c r="F164" s="5">
        <f t="shared" si="8"/>
        <v>-1.1681908092767168E-2</v>
      </c>
    </row>
    <row r="165" spans="1:6" x14ac:dyDescent="0.35">
      <c r="A165" s="10">
        <v>45527</v>
      </c>
      <c r="B165" s="9">
        <v>1.1291534568026642E-2</v>
      </c>
      <c r="D165" s="6" t="str">
        <f t="shared" si="6"/>
        <v>08/23/2024</v>
      </c>
      <c r="E165" s="6" t="str">
        <f t="shared" si="7"/>
        <v>NBI Index</v>
      </c>
      <c r="F165" s="5">
        <f t="shared" si="8"/>
        <v>1.1291534568026642E-2</v>
      </c>
    </row>
    <row r="166" spans="1:6" x14ac:dyDescent="0.35">
      <c r="A166" s="8">
        <v>45530</v>
      </c>
      <c r="B166" s="7">
        <v>6.0445988947590938E-4</v>
      </c>
      <c r="D166" s="6" t="str">
        <f t="shared" si="6"/>
        <v>08/26/2024</v>
      </c>
      <c r="E166" s="6" t="str">
        <f t="shared" si="7"/>
        <v>NBI Index</v>
      </c>
      <c r="F166" s="5">
        <f t="shared" si="8"/>
        <v>6.0445988947590938E-4</v>
      </c>
    </row>
    <row r="167" spans="1:6" x14ac:dyDescent="0.35">
      <c r="A167" s="10">
        <v>45531</v>
      </c>
      <c r="B167" s="9">
        <v>-1.2532406099102884E-3</v>
      </c>
      <c r="D167" s="6" t="str">
        <f t="shared" si="6"/>
        <v>08/27/2024</v>
      </c>
      <c r="E167" s="6" t="str">
        <f t="shared" si="7"/>
        <v>NBI Index</v>
      </c>
      <c r="F167" s="5">
        <f t="shared" si="8"/>
        <v>-1.2532406099102884E-3</v>
      </c>
    </row>
    <row r="168" spans="1:6" x14ac:dyDescent="0.35">
      <c r="A168" s="8">
        <v>45532</v>
      </c>
      <c r="B168" s="7">
        <v>-4.900332566504553E-4</v>
      </c>
      <c r="D168" s="6" t="str">
        <f t="shared" si="6"/>
        <v>08/28/2024</v>
      </c>
      <c r="E168" s="6" t="str">
        <f t="shared" si="7"/>
        <v>NBI Index</v>
      </c>
      <c r="F168" s="5">
        <f t="shared" si="8"/>
        <v>-4.900332566504553E-4</v>
      </c>
    </row>
    <row r="169" spans="1:6" x14ac:dyDescent="0.35">
      <c r="A169" s="10">
        <v>45533</v>
      </c>
      <c r="B169" s="9">
        <v>1.4400502171358534E-3</v>
      </c>
      <c r="D169" s="6" t="str">
        <f t="shared" si="6"/>
        <v>08/29/2024</v>
      </c>
      <c r="E169" s="6" t="str">
        <f t="shared" si="7"/>
        <v>NBI Index</v>
      </c>
      <c r="F169" s="5">
        <f t="shared" si="8"/>
        <v>1.4400502171358534E-3</v>
      </c>
    </row>
    <row r="170" spans="1:6" x14ac:dyDescent="0.35">
      <c r="A170" s="8">
        <v>45534</v>
      </c>
      <c r="B170" s="7">
        <v>3.0726056720306278E-5</v>
      </c>
      <c r="D170" s="6" t="str">
        <f t="shared" si="6"/>
        <v>08/30/2024</v>
      </c>
      <c r="E170" s="6" t="str">
        <f t="shared" si="7"/>
        <v>NBI Index</v>
      </c>
      <c r="F170" s="5">
        <f t="shared" si="8"/>
        <v>3.0726056720306278E-5</v>
      </c>
    </row>
    <row r="171" spans="1:6" x14ac:dyDescent="0.35">
      <c r="A171" s="10">
        <v>45538</v>
      </c>
      <c r="B171" s="9">
        <v>-1.7902498975829625E-2</v>
      </c>
      <c r="D171" s="6" t="str">
        <f t="shared" si="6"/>
        <v>09/03/2024</v>
      </c>
      <c r="E171" s="6" t="str">
        <f t="shared" si="7"/>
        <v>NBI Index</v>
      </c>
      <c r="F171" s="5">
        <f t="shared" si="8"/>
        <v>-1.7902498975829625E-2</v>
      </c>
    </row>
    <row r="172" spans="1:6" x14ac:dyDescent="0.35">
      <c r="A172" s="8">
        <v>45539</v>
      </c>
      <c r="B172" s="7">
        <v>-3.8368164183735402E-6</v>
      </c>
      <c r="D172" s="6" t="str">
        <f t="shared" si="6"/>
        <v>09/04/2024</v>
      </c>
      <c r="E172" s="6" t="str">
        <f t="shared" si="7"/>
        <v>NBI Index</v>
      </c>
      <c r="F172" s="5">
        <f t="shared" si="8"/>
        <v>-3.8368164183735402E-6</v>
      </c>
    </row>
    <row r="173" spans="1:6" x14ac:dyDescent="0.35">
      <c r="A173" s="10">
        <v>45540</v>
      </c>
      <c r="B173" s="9">
        <v>-7.769205580479656E-3</v>
      </c>
      <c r="D173" s="6" t="str">
        <f t="shared" si="6"/>
        <v>09/05/2024</v>
      </c>
      <c r="E173" s="6" t="str">
        <f t="shared" si="7"/>
        <v>NBI Index</v>
      </c>
      <c r="F173" s="5">
        <f t="shared" si="8"/>
        <v>-7.769205580479656E-3</v>
      </c>
    </row>
    <row r="174" spans="1:6" x14ac:dyDescent="0.35">
      <c r="A174" s="8">
        <v>45541</v>
      </c>
      <c r="B174" s="7">
        <v>-1.3143954999873777E-2</v>
      </c>
      <c r="D174" s="6" t="str">
        <f t="shared" si="6"/>
        <v>09/06/2024</v>
      </c>
      <c r="E174" s="6" t="str">
        <f t="shared" si="7"/>
        <v>NBI Index</v>
      </c>
      <c r="F174" s="5">
        <f t="shared" si="8"/>
        <v>-1.3143954999873777E-2</v>
      </c>
    </row>
    <row r="175" spans="1:6" x14ac:dyDescent="0.35">
      <c r="A175" s="10">
        <v>45544</v>
      </c>
      <c r="B175" s="9">
        <v>1.5521461023815707E-2</v>
      </c>
      <c r="D175" s="6" t="str">
        <f t="shared" si="6"/>
        <v>09/09/2024</v>
      </c>
      <c r="E175" s="6" t="str">
        <f t="shared" si="7"/>
        <v>NBI Index</v>
      </c>
      <c r="F175" s="5">
        <f t="shared" si="8"/>
        <v>1.5521461023815707E-2</v>
      </c>
    </row>
    <row r="176" spans="1:6" x14ac:dyDescent="0.35">
      <c r="A176" s="8">
        <v>45545</v>
      </c>
      <c r="B176" s="7">
        <v>5.0716703791797782E-3</v>
      </c>
      <c r="D176" s="6" t="str">
        <f t="shared" si="6"/>
        <v>09/10/2024</v>
      </c>
      <c r="E176" s="6" t="str">
        <f t="shared" si="7"/>
        <v>NBI Index</v>
      </c>
      <c r="F176" s="5">
        <f t="shared" si="8"/>
        <v>5.0716703791797782E-3</v>
      </c>
    </row>
    <row r="177" spans="1:6" x14ac:dyDescent="0.35">
      <c r="A177" s="10">
        <v>45546</v>
      </c>
      <c r="B177" s="9">
        <v>2.1620087482051675E-3</v>
      </c>
      <c r="D177" s="6" t="str">
        <f t="shared" si="6"/>
        <v>09/11/2024</v>
      </c>
      <c r="E177" s="6" t="str">
        <f t="shared" si="7"/>
        <v>NBI Index</v>
      </c>
      <c r="F177" s="5">
        <f t="shared" si="8"/>
        <v>2.1620087482051675E-3</v>
      </c>
    </row>
    <row r="178" spans="1:6" x14ac:dyDescent="0.35">
      <c r="A178" s="8">
        <v>45547</v>
      </c>
      <c r="B178" s="7">
        <v>3.2880762983633171E-3</v>
      </c>
      <c r="D178" s="6" t="str">
        <f t="shared" si="6"/>
        <v>09/12/2024</v>
      </c>
      <c r="E178" s="6" t="str">
        <f t="shared" si="7"/>
        <v>NBI Index</v>
      </c>
      <c r="F178" s="5">
        <f t="shared" si="8"/>
        <v>3.2880762983633171E-3</v>
      </c>
    </row>
    <row r="179" spans="1:6" x14ac:dyDescent="0.35">
      <c r="A179" s="10">
        <v>45548</v>
      </c>
      <c r="B179" s="9">
        <v>1.6562540603031549E-2</v>
      </c>
      <c r="D179" s="6" t="str">
        <f t="shared" si="6"/>
        <v>09/13/2024</v>
      </c>
      <c r="E179" s="6" t="str">
        <f t="shared" si="7"/>
        <v>NBI Index</v>
      </c>
      <c r="F179" s="5">
        <f t="shared" si="8"/>
        <v>1.6562540603031549E-2</v>
      </c>
    </row>
    <row r="180" spans="1:6" x14ac:dyDescent="0.35">
      <c r="A180" s="8">
        <v>45551</v>
      </c>
      <c r="B180" s="7">
        <v>-6.1305062164316832E-6</v>
      </c>
      <c r="D180" s="6" t="str">
        <f t="shared" si="6"/>
        <v>09/16/2024</v>
      </c>
      <c r="E180" s="6" t="str">
        <f t="shared" si="7"/>
        <v>NBI Index</v>
      </c>
      <c r="F180" s="5">
        <f t="shared" si="8"/>
        <v>-6.1305062164316832E-6</v>
      </c>
    </row>
    <row r="181" spans="1:6" x14ac:dyDescent="0.35">
      <c r="A181" s="10">
        <v>45552</v>
      </c>
      <c r="B181" s="9">
        <v>-2.8609204398460687E-3</v>
      </c>
      <c r="D181" s="6" t="str">
        <f t="shared" si="6"/>
        <v>09/17/2024</v>
      </c>
      <c r="E181" s="6" t="str">
        <f t="shared" si="7"/>
        <v>NBI Index</v>
      </c>
      <c r="F181" s="5">
        <f t="shared" si="8"/>
        <v>-2.8609204398460687E-3</v>
      </c>
    </row>
    <row r="182" spans="1:6" x14ac:dyDescent="0.35">
      <c r="A182" s="8">
        <v>45553</v>
      </c>
      <c r="B182" s="7">
        <v>-3.4654977016228663E-3</v>
      </c>
      <c r="D182" s="6" t="str">
        <f t="shared" si="6"/>
        <v>09/18/2024</v>
      </c>
      <c r="E182" s="6" t="str">
        <f t="shared" si="7"/>
        <v>NBI Index</v>
      </c>
      <c r="F182" s="5">
        <f t="shared" si="8"/>
        <v>-3.4654977016228663E-3</v>
      </c>
    </row>
    <row r="183" spans="1:6" x14ac:dyDescent="0.35">
      <c r="A183" s="10">
        <v>45554</v>
      </c>
      <c r="B183" s="9">
        <v>1.0874795891926588E-2</v>
      </c>
      <c r="D183" s="6" t="str">
        <f t="shared" si="6"/>
        <v>09/19/2024</v>
      </c>
      <c r="E183" s="6" t="str">
        <f t="shared" si="7"/>
        <v>NBI Index</v>
      </c>
      <c r="F183" s="5">
        <f t="shared" si="8"/>
        <v>1.0874795891926588E-2</v>
      </c>
    </row>
    <row r="184" spans="1:6" x14ac:dyDescent="0.35">
      <c r="A184" s="8">
        <v>45555</v>
      </c>
      <c r="B184" s="7">
        <v>-8.0419082494151278E-3</v>
      </c>
      <c r="D184" s="6" t="str">
        <f t="shared" si="6"/>
        <v>09/20/2024</v>
      </c>
      <c r="E184" s="6" t="str">
        <f t="shared" si="7"/>
        <v>NBI Index</v>
      </c>
      <c r="F184" s="5">
        <f t="shared" si="8"/>
        <v>-8.0419082494151278E-3</v>
      </c>
    </row>
    <row r="185" spans="1:6" x14ac:dyDescent="0.35">
      <c r="A185" s="10">
        <v>45558</v>
      </c>
      <c r="B185" s="9">
        <v>-1.9729407687085736E-2</v>
      </c>
      <c r="D185" s="6" t="str">
        <f t="shared" si="6"/>
        <v>09/23/2024</v>
      </c>
      <c r="E185" s="6" t="str">
        <f t="shared" si="7"/>
        <v>NBI Index</v>
      </c>
      <c r="F185" s="5">
        <f t="shared" si="8"/>
        <v>-1.9729407687085736E-2</v>
      </c>
    </row>
    <row r="186" spans="1:6" x14ac:dyDescent="0.35">
      <c r="A186" s="8">
        <v>45559</v>
      </c>
      <c r="B186" s="7">
        <v>-3.3558100075947507E-3</v>
      </c>
      <c r="D186" s="6" t="str">
        <f t="shared" si="6"/>
        <v>09/24/2024</v>
      </c>
      <c r="E186" s="6" t="str">
        <f t="shared" si="7"/>
        <v>NBI Index</v>
      </c>
      <c r="F186" s="5">
        <f t="shared" si="8"/>
        <v>-3.3558100075947507E-3</v>
      </c>
    </row>
    <row r="187" spans="1:6" x14ac:dyDescent="0.35">
      <c r="A187" s="10">
        <v>45560</v>
      </c>
      <c r="B187" s="9">
        <v>-1.4604102247608358E-2</v>
      </c>
      <c r="D187" s="6" t="str">
        <f t="shared" si="6"/>
        <v>09/25/2024</v>
      </c>
      <c r="E187" s="6" t="str">
        <f t="shared" si="7"/>
        <v>NBI Index</v>
      </c>
      <c r="F187" s="5">
        <f t="shared" si="8"/>
        <v>-1.4604102247608358E-2</v>
      </c>
    </row>
    <row r="188" spans="1:6" x14ac:dyDescent="0.35">
      <c r="A188" s="8">
        <v>45561</v>
      </c>
      <c r="B188" s="7">
        <v>8.2868926495900976E-3</v>
      </c>
      <c r="D188" s="6" t="str">
        <f t="shared" si="6"/>
        <v>09/26/2024</v>
      </c>
      <c r="E188" s="6" t="str">
        <f t="shared" si="7"/>
        <v>NBI Index</v>
      </c>
      <c r="F188" s="5">
        <f t="shared" si="8"/>
        <v>8.2868926495900976E-3</v>
      </c>
    </row>
    <row r="189" spans="1:6" x14ac:dyDescent="0.35">
      <c r="A189" s="10">
        <v>45562</v>
      </c>
      <c r="B189" s="9">
        <v>2.3705594266711233E-3</v>
      </c>
      <c r="D189" s="6" t="str">
        <f t="shared" si="6"/>
        <v>09/27/2024</v>
      </c>
      <c r="E189" s="6" t="str">
        <f t="shared" si="7"/>
        <v>NBI Index</v>
      </c>
      <c r="F189" s="5">
        <f t="shared" si="8"/>
        <v>2.3705594266711233E-3</v>
      </c>
    </row>
    <row r="190" spans="1:6" x14ac:dyDescent="0.35">
      <c r="A190" s="8">
        <v>45565</v>
      </c>
      <c r="B190" s="7">
        <v>4.9659800854923658E-3</v>
      </c>
      <c r="D190" s="6" t="str">
        <f t="shared" si="6"/>
        <v>09/30/2024</v>
      </c>
      <c r="E190" s="6" t="str">
        <f t="shared" si="7"/>
        <v>NBI Index</v>
      </c>
      <c r="F190" s="5">
        <f t="shared" si="8"/>
        <v>4.9659800854923658E-3</v>
      </c>
    </row>
    <row r="191" spans="1:6" x14ac:dyDescent="0.35">
      <c r="A191" s="10">
        <v>45566</v>
      </c>
      <c r="B191" s="9">
        <v>-4.9267592872243617E-3</v>
      </c>
      <c r="D191" s="6" t="str">
        <f t="shared" si="6"/>
        <v>10/01/2024</v>
      </c>
      <c r="E191" s="6" t="str">
        <f t="shared" si="7"/>
        <v>NBI Index</v>
      </c>
      <c r="F191" s="5">
        <f t="shared" si="8"/>
        <v>-4.9267592872243617E-3</v>
      </c>
    </row>
    <row r="192" spans="1:6" x14ac:dyDescent="0.35">
      <c r="A192" s="8">
        <v>45567</v>
      </c>
      <c r="B192" s="7">
        <v>-2.2974696217608088E-4</v>
      </c>
      <c r="D192" s="6" t="str">
        <f t="shared" si="6"/>
        <v>10/02/2024</v>
      </c>
      <c r="E192" s="6" t="str">
        <f t="shared" si="7"/>
        <v>NBI Index</v>
      </c>
      <c r="F192" s="5">
        <f t="shared" si="8"/>
        <v>-2.2974696217608088E-4</v>
      </c>
    </row>
    <row r="193" spans="1:6" x14ac:dyDescent="0.35">
      <c r="A193" s="10">
        <v>45568</v>
      </c>
      <c r="B193" s="9">
        <v>-1.4582797485273745E-2</v>
      </c>
      <c r="D193" s="6" t="str">
        <f t="shared" si="6"/>
        <v>10/03/2024</v>
      </c>
      <c r="E193" s="6" t="str">
        <f t="shared" si="7"/>
        <v>NBI Index</v>
      </c>
      <c r="F193" s="5">
        <f t="shared" si="8"/>
        <v>-1.4582797485273745E-2</v>
      </c>
    </row>
    <row r="194" spans="1:6" x14ac:dyDescent="0.35">
      <c r="A194" s="8">
        <v>45569</v>
      </c>
      <c r="B194" s="7">
        <v>7.8047277651905342E-3</v>
      </c>
      <c r="D194" s="6" t="str">
        <f t="shared" si="6"/>
        <v>10/04/2024</v>
      </c>
      <c r="E194" s="6" t="str">
        <f t="shared" si="7"/>
        <v>NBI Index</v>
      </c>
      <c r="F194" s="5">
        <f t="shared" si="8"/>
        <v>7.8047277651905342E-3</v>
      </c>
    </row>
    <row r="195" spans="1:6" x14ac:dyDescent="0.35">
      <c r="A195" s="10">
        <v>45572</v>
      </c>
      <c r="B195" s="9">
        <v>-1.2310612091530294E-2</v>
      </c>
      <c r="D195" s="6" t="str">
        <f t="shared" ref="D195:D258" si="9">IF(A195 =  "", "",  TEXT(A195, "mm/dd/yyyy"))</f>
        <v>10/07/2024</v>
      </c>
      <c r="E195" s="6" t="str">
        <f t="shared" ref="E195:E258" si="10">IF(A195="", "", EntityLocal)</f>
        <v>NBI Index</v>
      </c>
      <c r="F195" s="5">
        <f t="shared" ref="F195:F258" si="11">IF(B195="","", B195)</f>
        <v>-1.2310612091530294E-2</v>
      </c>
    </row>
    <row r="196" spans="1:6" x14ac:dyDescent="0.35">
      <c r="A196" s="8">
        <v>45573</v>
      </c>
      <c r="B196" s="7">
        <v>5.7602448533932591E-3</v>
      </c>
      <c r="D196" s="6" t="str">
        <f t="shared" si="9"/>
        <v>10/08/2024</v>
      </c>
      <c r="E196" s="6" t="str">
        <f t="shared" si="10"/>
        <v>NBI Index</v>
      </c>
      <c r="F196" s="5">
        <f t="shared" si="11"/>
        <v>5.7602448533932591E-3</v>
      </c>
    </row>
    <row r="197" spans="1:6" x14ac:dyDescent="0.35">
      <c r="A197" s="10">
        <v>45574</v>
      </c>
      <c r="B197" s="9">
        <v>1.656202317400991E-3</v>
      </c>
      <c r="D197" s="6" t="str">
        <f t="shared" si="9"/>
        <v>10/09/2024</v>
      </c>
      <c r="E197" s="6" t="str">
        <f t="shared" si="10"/>
        <v>NBI Index</v>
      </c>
      <c r="F197" s="5">
        <f t="shared" si="11"/>
        <v>1.656202317400991E-3</v>
      </c>
    </row>
    <row r="198" spans="1:6" x14ac:dyDescent="0.35">
      <c r="A198" s="8">
        <v>45575</v>
      </c>
      <c r="B198" s="7">
        <v>-4.9497240315502758E-4</v>
      </c>
      <c r="D198" s="6" t="str">
        <f t="shared" si="9"/>
        <v>10/10/2024</v>
      </c>
      <c r="E198" s="6" t="str">
        <f t="shared" si="10"/>
        <v>NBI Index</v>
      </c>
      <c r="F198" s="5">
        <f t="shared" si="11"/>
        <v>-4.9497240315502758E-4</v>
      </c>
    </row>
    <row r="199" spans="1:6" x14ac:dyDescent="0.35">
      <c r="A199" s="10">
        <v>45576</v>
      </c>
      <c r="B199" s="9">
        <v>1.9035990787246292E-2</v>
      </c>
      <c r="D199" s="6" t="str">
        <f t="shared" si="9"/>
        <v>10/11/2024</v>
      </c>
      <c r="E199" s="6" t="str">
        <f t="shared" si="10"/>
        <v>NBI Index</v>
      </c>
      <c r="F199" s="5">
        <f t="shared" si="11"/>
        <v>1.9035990787246292E-2</v>
      </c>
    </row>
    <row r="200" spans="1:6" x14ac:dyDescent="0.35">
      <c r="A200" s="8">
        <v>45579</v>
      </c>
      <c r="B200" s="7">
        <v>1.6778418052825251E-3</v>
      </c>
      <c r="D200" s="6" t="str">
        <f t="shared" si="9"/>
        <v>10/14/2024</v>
      </c>
      <c r="E200" s="6" t="str">
        <f t="shared" si="10"/>
        <v>NBI Index</v>
      </c>
      <c r="F200" s="5">
        <f t="shared" si="11"/>
        <v>1.6778418052825251E-3</v>
      </c>
    </row>
    <row r="201" spans="1:6" x14ac:dyDescent="0.35">
      <c r="A201" s="10">
        <v>45580</v>
      </c>
      <c r="B201" s="9">
        <v>4.2199916352990566E-3</v>
      </c>
      <c r="D201" s="6" t="str">
        <f t="shared" si="9"/>
        <v>10/15/2024</v>
      </c>
      <c r="E201" s="6" t="str">
        <f t="shared" si="10"/>
        <v>NBI Index</v>
      </c>
      <c r="F201" s="5">
        <f t="shared" si="11"/>
        <v>4.2199916352990566E-3</v>
      </c>
    </row>
    <row r="202" spans="1:6" x14ac:dyDescent="0.35">
      <c r="A202" s="8">
        <v>45581</v>
      </c>
      <c r="B202" s="7">
        <v>9.9350711551837306E-3</v>
      </c>
      <c r="D202" s="6" t="str">
        <f t="shared" si="9"/>
        <v>10/16/2024</v>
      </c>
      <c r="E202" s="6" t="str">
        <f t="shared" si="10"/>
        <v>NBI Index</v>
      </c>
      <c r="F202" s="5">
        <f t="shared" si="11"/>
        <v>9.9350711551837306E-3</v>
      </c>
    </row>
    <row r="203" spans="1:6" x14ac:dyDescent="0.35">
      <c r="A203" s="10">
        <v>45582</v>
      </c>
      <c r="B203" s="9">
        <v>-5.0331038435926104E-3</v>
      </c>
      <c r="D203" s="6" t="str">
        <f t="shared" si="9"/>
        <v>10/17/2024</v>
      </c>
      <c r="E203" s="6" t="str">
        <f t="shared" si="10"/>
        <v>NBI Index</v>
      </c>
      <c r="F203" s="5">
        <f t="shared" si="11"/>
        <v>-5.0331038435926104E-3</v>
      </c>
    </row>
    <row r="204" spans="1:6" x14ac:dyDescent="0.35">
      <c r="A204" s="8">
        <v>45583</v>
      </c>
      <c r="B204" s="7">
        <v>8.0199275512506433E-4</v>
      </c>
      <c r="D204" s="6" t="str">
        <f t="shared" si="9"/>
        <v>10/18/2024</v>
      </c>
      <c r="E204" s="6" t="str">
        <f t="shared" si="10"/>
        <v>NBI Index</v>
      </c>
      <c r="F204" s="5">
        <f t="shared" si="11"/>
        <v>8.0199275512506433E-4</v>
      </c>
    </row>
    <row r="205" spans="1:6" x14ac:dyDescent="0.35">
      <c r="A205" s="10">
        <v>45586</v>
      </c>
      <c r="B205" s="9">
        <v>-1.4511269632559132E-2</v>
      </c>
      <c r="D205" s="6" t="str">
        <f t="shared" si="9"/>
        <v>10/21/2024</v>
      </c>
      <c r="E205" s="6" t="str">
        <f t="shared" si="10"/>
        <v>NBI Index</v>
      </c>
      <c r="F205" s="5">
        <f t="shared" si="11"/>
        <v>-1.4511269632559132E-2</v>
      </c>
    </row>
    <row r="206" spans="1:6" x14ac:dyDescent="0.35">
      <c r="A206" s="8">
        <v>45587</v>
      </c>
      <c r="B206" s="7">
        <v>1.5128370527411608E-3</v>
      </c>
      <c r="D206" s="6" t="str">
        <f t="shared" si="9"/>
        <v>10/22/2024</v>
      </c>
      <c r="E206" s="6" t="str">
        <f t="shared" si="10"/>
        <v>NBI Index</v>
      </c>
      <c r="F206" s="5">
        <f t="shared" si="11"/>
        <v>1.5128370527411608E-3</v>
      </c>
    </row>
    <row r="207" spans="1:6" x14ac:dyDescent="0.35">
      <c r="A207" s="10">
        <v>45588</v>
      </c>
      <c r="B207" s="9">
        <v>-1.2869062429848485E-2</v>
      </c>
      <c r="D207" s="6" t="str">
        <f t="shared" si="9"/>
        <v>10/23/2024</v>
      </c>
      <c r="E207" s="6" t="str">
        <f t="shared" si="10"/>
        <v>NBI Index</v>
      </c>
      <c r="F207" s="5">
        <f t="shared" si="11"/>
        <v>-1.2869062429848485E-2</v>
      </c>
    </row>
    <row r="208" spans="1:6" x14ac:dyDescent="0.35">
      <c r="A208" s="8">
        <v>45589</v>
      </c>
      <c r="B208" s="7">
        <v>-1.3580921249786572E-3</v>
      </c>
      <c r="D208" s="6" t="str">
        <f t="shared" si="9"/>
        <v>10/24/2024</v>
      </c>
      <c r="E208" s="6" t="str">
        <f t="shared" si="10"/>
        <v>NBI Index</v>
      </c>
      <c r="F208" s="5">
        <f t="shared" si="11"/>
        <v>-1.3580921249786572E-3</v>
      </c>
    </row>
    <row r="209" spans="1:6" x14ac:dyDescent="0.35">
      <c r="A209" s="10">
        <v>45590</v>
      </c>
      <c r="B209" s="9">
        <v>1.5089151559781902E-3</v>
      </c>
      <c r="D209" s="6" t="str">
        <f t="shared" si="9"/>
        <v>10/25/2024</v>
      </c>
      <c r="E209" s="6" t="str">
        <f t="shared" si="10"/>
        <v>NBI Index</v>
      </c>
      <c r="F209" s="5">
        <f t="shared" si="11"/>
        <v>1.5089151559781902E-3</v>
      </c>
    </row>
    <row r="210" spans="1:6" x14ac:dyDescent="0.35">
      <c r="A210" s="8">
        <v>45593</v>
      </c>
      <c r="B210" s="7">
        <v>1.017886323985341E-2</v>
      </c>
      <c r="D210" s="6" t="str">
        <f t="shared" si="9"/>
        <v>10/28/2024</v>
      </c>
      <c r="E210" s="6" t="str">
        <f t="shared" si="10"/>
        <v>NBI Index</v>
      </c>
      <c r="F210" s="5">
        <f t="shared" si="11"/>
        <v>1.017886323985341E-2</v>
      </c>
    </row>
    <row r="211" spans="1:6" x14ac:dyDescent="0.35">
      <c r="A211" s="10">
        <v>45594</v>
      </c>
      <c r="B211" s="9">
        <v>-2.6778971460305187E-3</v>
      </c>
      <c r="D211" s="6" t="str">
        <f t="shared" si="9"/>
        <v>10/29/2024</v>
      </c>
      <c r="E211" s="6" t="str">
        <f t="shared" si="10"/>
        <v>NBI Index</v>
      </c>
      <c r="F211" s="5">
        <f t="shared" si="11"/>
        <v>-2.6778971460305187E-3</v>
      </c>
    </row>
    <row r="212" spans="1:6" x14ac:dyDescent="0.35">
      <c r="A212" s="8">
        <v>45595</v>
      </c>
      <c r="B212" s="7">
        <v>-5.2836954229066721E-3</v>
      </c>
      <c r="D212" s="6" t="str">
        <f t="shared" si="9"/>
        <v>10/30/2024</v>
      </c>
      <c r="E212" s="6" t="str">
        <f t="shared" si="10"/>
        <v>NBI Index</v>
      </c>
      <c r="F212" s="5">
        <f t="shared" si="11"/>
        <v>-5.2836954229066721E-3</v>
      </c>
    </row>
    <row r="213" spans="1:6" x14ac:dyDescent="0.35">
      <c r="A213" s="10">
        <v>45596</v>
      </c>
      <c r="B213" s="9">
        <v>-1.3969613757567311E-2</v>
      </c>
      <c r="D213" s="6" t="str">
        <f t="shared" si="9"/>
        <v>10/31/2024</v>
      </c>
      <c r="E213" s="6" t="str">
        <f t="shared" si="10"/>
        <v>NBI Index</v>
      </c>
      <c r="F213" s="5">
        <f t="shared" si="11"/>
        <v>-1.3969613757567311E-2</v>
      </c>
    </row>
    <row r="214" spans="1:6" x14ac:dyDescent="0.35">
      <c r="A214" s="8">
        <v>45597</v>
      </c>
      <c r="B214" s="7">
        <v>1.2774001251594058E-2</v>
      </c>
      <c r="D214" s="6" t="str">
        <f t="shared" si="9"/>
        <v>11/01/2024</v>
      </c>
      <c r="E214" s="6" t="str">
        <f t="shared" si="10"/>
        <v>NBI Index</v>
      </c>
      <c r="F214" s="5">
        <f t="shared" si="11"/>
        <v>1.2774001251594058E-2</v>
      </c>
    </row>
    <row r="215" spans="1:6" x14ac:dyDescent="0.35">
      <c r="A215" s="10">
        <v>45600</v>
      </c>
      <c r="B215" s="9">
        <v>5.9667011362201836E-4</v>
      </c>
      <c r="D215" s="6" t="str">
        <f t="shared" si="9"/>
        <v>11/04/2024</v>
      </c>
      <c r="E215" s="6" t="str">
        <f t="shared" si="10"/>
        <v>NBI Index</v>
      </c>
      <c r="F215" s="5">
        <f t="shared" si="11"/>
        <v>5.9667011362201836E-4</v>
      </c>
    </row>
    <row r="216" spans="1:6" x14ac:dyDescent="0.35">
      <c r="A216" s="8">
        <v>45601</v>
      </c>
      <c r="B216" s="7">
        <v>1.0988311390664609E-2</v>
      </c>
      <c r="D216" s="6" t="str">
        <f t="shared" si="9"/>
        <v>11/05/2024</v>
      </c>
      <c r="E216" s="6" t="str">
        <f t="shared" si="10"/>
        <v>NBI Index</v>
      </c>
      <c r="F216" s="5">
        <f t="shared" si="11"/>
        <v>1.0988311390664609E-2</v>
      </c>
    </row>
    <row r="217" spans="1:6" x14ac:dyDescent="0.35">
      <c r="A217" s="10">
        <v>45602</v>
      </c>
      <c r="B217" s="9">
        <v>9.8319500594028723E-3</v>
      </c>
      <c r="D217" s="6" t="str">
        <f t="shared" si="9"/>
        <v>11/06/2024</v>
      </c>
      <c r="E217" s="6" t="str">
        <f t="shared" si="10"/>
        <v>NBI Index</v>
      </c>
      <c r="F217" s="5">
        <f t="shared" si="11"/>
        <v>9.8319500594028723E-3</v>
      </c>
    </row>
    <row r="218" spans="1:6" x14ac:dyDescent="0.35">
      <c r="A218" s="8">
        <v>45603</v>
      </c>
      <c r="B218" s="7">
        <v>1.2151572470847556E-2</v>
      </c>
      <c r="D218" s="6" t="str">
        <f t="shared" si="9"/>
        <v>11/07/2024</v>
      </c>
      <c r="E218" s="6" t="str">
        <f t="shared" si="10"/>
        <v>NBI Index</v>
      </c>
      <c r="F218" s="5">
        <f t="shared" si="11"/>
        <v>1.2151572470847556E-2</v>
      </c>
    </row>
    <row r="219" spans="1:6" x14ac:dyDescent="0.35">
      <c r="A219" s="10">
        <v>45604</v>
      </c>
      <c r="B219" s="9">
        <v>7.0029736967486987E-3</v>
      </c>
      <c r="D219" s="6" t="str">
        <f t="shared" si="9"/>
        <v>11/08/2024</v>
      </c>
      <c r="E219" s="6" t="str">
        <f t="shared" si="10"/>
        <v>NBI Index</v>
      </c>
      <c r="F219" s="5">
        <f t="shared" si="11"/>
        <v>7.0029736967486987E-3</v>
      </c>
    </row>
    <row r="220" spans="1:6" x14ac:dyDescent="0.35">
      <c r="A220" s="8">
        <v>45607</v>
      </c>
      <c r="B220" s="7">
        <v>-4.0461225338843058E-3</v>
      </c>
      <c r="D220" s="6" t="str">
        <f t="shared" si="9"/>
        <v>11/11/2024</v>
      </c>
      <c r="E220" s="6" t="str">
        <f t="shared" si="10"/>
        <v>NBI Index</v>
      </c>
      <c r="F220" s="5">
        <f t="shared" si="11"/>
        <v>-4.0461225338843058E-3</v>
      </c>
    </row>
    <row r="221" spans="1:6" x14ac:dyDescent="0.35">
      <c r="A221" s="10">
        <v>45608</v>
      </c>
      <c r="B221" s="9">
        <v>-2.626740000245719E-2</v>
      </c>
      <c r="D221" s="6" t="str">
        <f t="shared" si="9"/>
        <v>11/12/2024</v>
      </c>
      <c r="E221" s="6" t="str">
        <f t="shared" si="10"/>
        <v>NBI Index</v>
      </c>
      <c r="F221" s="5">
        <f t="shared" si="11"/>
        <v>-2.626740000245719E-2</v>
      </c>
    </row>
    <row r="222" spans="1:6" x14ac:dyDescent="0.35">
      <c r="A222" s="8">
        <v>45609</v>
      </c>
      <c r="B222" s="7">
        <v>-7.9573700303236673E-3</v>
      </c>
      <c r="D222" s="6" t="str">
        <f t="shared" si="9"/>
        <v>11/13/2024</v>
      </c>
      <c r="E222" s="6" t="str">
        <f t="shared" si="10"/>
        <v>NBI Index</v>
      </c>
      <c r="F222" s="5">
        <f t="shared" si="11"/>
        <v>-7.9573700303236673E-3</v>
      </c>
    </row>
    <row r="223" spans="1:6" x14ac:dyDescent="0.35">
      <c r="A223" s="10">
        <v>45610</v>
      </c>
      <c r="B223" s="9">
        <v>-2.3603603603603692E-2</v>
      </c>
      <c r="D223" s="6" t="str">
        <f t="shared" si="9"/>
        <v>11/14/2024</v>
      </c>
      <c r="E223" s="6" t="str">
        <f t="shared" si="10"/>
        <v>NBI Index</v>
      </c>
      <c r="F223" s="5">
        <f t="shared" si="11"/>
        <v>-2.3603603603603692E-2</v>
      </c>
    </row>
    <row r="224" spans="1:6" x14ac:dyDescent="0.35">
      <c r="A224" s="8">
        <v>45611</v>
      </c>
      <c r="B224" s="7">
        <v>-4.4389251327030234E-2</v>
      </c>
      <c r="D224" s="6" t="str">
        <f t="shared" si="9"/>
        <v>11/15/2024</v>
      </c>
      <c r="E224" s="6" t="str">
        <f t="shared" si="10"/>
        <v>NBI Index</v>
      </c>
      <c r="F224" s="5">
        <f t="shared" si="11"/>
        <v>-4.4389251327030234E-2</v>
      </c>
    </row>
    <row r="225" spans="1:6" x14ac:dyDescent="0.35">
      <c r="A225" s="10">
        <v>45614</v>
      </c>
      <c r="B225" s="9">
        <v>-2.3839961010987689E-3</v>
      </c>
      <c r="D225" s="6" t="str">
        <f t="shared" si="9"/>
        <v>11/18/2024</v>
      </c>
      <c r="E225" s="6" t="str">
        <f t="shared" si="10"/>
        <v>NBI Index</v>
      </c>
      <c r="F225" s="5">
        <f t="shared" si="11"/>
        <v>-2.3839961010987689E-3</v>
      </c>
    </row>
    <row r="226" spans="1:6" x14ac:dyDescent="0.35">
      <c r="A226" s="8">
        <v>45615</v>
      </c>
      <c r="B226" s="7">
        <v>3.2633639539575944E-3</v>
      </c>
      <c r="D226" s="6" t="str">
        <f t="shared" si="9"/>
        <v>11/19/2024</v>
      </c>
      <c r="E226" s="6" t="str">
        <f t="shared" si="10"/>
        <v>NBI Index</v>
      </c>
      <c r="F226" s="5">
        <f t="shared" si="11"/>
        <v>3.2633639539575944E-3</v>
      </c>
    </row>
    <row r="227" spans="1:6" x14ac:dyDescent="0.35">
      <c r="A227" s="10">
        <v>45616</v>
      </c>
      <c r="B227" s="9">
        <v>7.3595718728064752E-3</v>
      </c>
      <c r="D227" s="6" t="str">
        <f t="shared" si="9"/>
        <v>11/20/2024</v>
      </c>
      <c r="E227" s="6" t="str">
        <f t="shared" si="10"/>
        <v>NBI Index</v>
      </c>
      <c r="F227" s="5">
        <f t="shared" si="11"/>
        <v>7.3595718728064752E-3</v>
      </c>
    </row>
    <row r="228" spans="1:6" x14ac:dyDescent="0.35">
      <c r="A228" s="8">
        <v>45617</v>
      </c>
      <c r="B228" s="7">
        <v>6.9314945555973822E-3</v>
      </c>
      <c r="D228" s="6" t="str">
        <f t="shared" si="9"/>
        <v>11/21/2024</v>
      </c>
      <c r="E228" s="6" t="str">
        <f t="shared" si="10"/>
        <v>NBI Index</v>
      </c>
      <c r="F228" s="5">
        <f t="shared" si="11"/>
        <v>6.9314945555973822E-3</v>
      </c>
    </row>
    <row r="229" spans="1:6" x14ac:dyDescent="0.35">
      <c r="A229" s="10">
        <v>45618</v>
      </c>
      <c r="B229" s="9">
        <v>1.5404407276114869E-2</v>
      </c>
      <c r="D229" s="6" t="str">
        <f t="shared" si="9"/>
        <v>11/22/2024</v>
      </c>
      <c r="E229" s="6" t="str">
        <f t="shared" si="10"/>
        <v>NBI Index</v>
      </c>
      <c r="F229" s="5">
        <f t="shared" si="11"/>
        <v>1.5404407276114869E-2</v>
      </c>
    </row>
    <row r="230" spans="1:6" x14ac:dyDescent="0.35">
      <c r="A230" s="8">
        <v>45621</v>
      </c>
      <c r="B230" s="7">
        <v>1.336000776411198E-2</v>
      </c>
      <c r="D230" s="6" t="str">
        <f t="shared" si="9"/>
        <v>11/25/2024</v>
      </c>
      <c r="E230" s="6" t="str">
        <f t="shared" si="10"/>
        <v>NBI Index</v>
      </c>
      <c r="F230" s="5">
        <f t="shared" si="11"/>
        <v>1.336000776411198E-2</v>
      </c>
    </row>
    <row r="231" spans="1:6" x14ac:dyDescent="0.35">
      <c r="A231" s="10">
        <v>45622</v>
      </c>
      <c r="B231" s="9">
        <v>1.4844642759972116E-3</v>
      </c>
      <c r="D231" s="6" t="str">
        <f t="shared" si="9"/>
        <v>11/26/2024</v>
      </c>
      <c r="E231" s="6" t="str">
        <f t="shared" si="10"/>
        <v>NBI Index</v>
      </c>
      <c r="F231" s="5">
        <f t="shared" si="11"/>
        <v>1.4844642759972116E-3</v>
      </c>
    </row>
    <row r="232" spans="1:6" x14ac:dyDescent="0.35">
      <c r="A232" s="8">
        <v>45623</v>
      </c>
      <c r="B232" s="7">
        <v>1.022622520413727E-2</v>
      </c>
      <c r="D232" s="6" t="str">
        <f t="shared" si="9"/>
        <v>11/27/2024</v>
      </c>
      <c r="E232" s="6" t="str">
        <f t="shared" si="10"/>
        <v>NBI Index</v>
      </c>
      <c r="F232" s="5">
        <f t="shared" si="11"/>
        <v>1.022622520413727E-2</v>
      </c>
    </row>
    <row r="233" spans="1:6" x14ac:dyDescent="0.35">
      <c r="A233" s="10">
        <v>45625</v>
      </c>
      <c r="B233" s="9">
        <v>-7.0996598617505059E-4</v>
      </c>
      <c r="D233" s="6" t="str">
        <f t="shared" si="9"/>
        <v>11/29/2024</v>
      </c>
      <c r="E233" s="6" t="str">
        <f t="shared" si="10"/>
        <v>NBI Index</v>
      </c>
      <c r="F233" s="5">
        <f t="shared" si="11"/>
        <v>-7.0996598617505059E-4</v>
      </c>
    </row>
    <row r="234" spans="1:6" x14ac:dyDescent="0.35">
      <c r="A234" s="8">
        <v>45628</v>
      </c>
      <c r="B234" s="7">
        <v>3.9183518809165796E-4</v>
      </c>
      <c r="D234" s="6" t="str">
        <f t="shared" si="9"/>
        <v>12/02/2024</v>
      </c>
      <c r="E234" s="6" t="str">
        <f t="shared" si="10"/>
        <v>NBI Index</v>
      </c>
      <c r="F234" s="5">
        <f t="shared" si="11"/>
        <v>3.9183518809165796E-4</v>
      </c>
    </row>
    <row r="235" spans="1:6" x14ac:dyDescent="0.35">
      <c r="A235" s="10">
        <v>45629</v>
      </c>
      <c r="B235" s="9">
        <v>-1.3900396631537261E-2</v>
      </c>
      <c r="D235" s="6" t="str">
        <f t="shared" si="9"/>
        <v>12/03/2024</v>
      </c>
      <c r="E235" s="6" t="str">
        <f t="shared" si="10"/>
        <v>NBI Index</v>
      </c>
      <c r="F235" s="5">
        <f t="shared" si="11"/>
        <v>-1.3900396631537261E-2</v>
      </c>
    </row>
    <row r="236" spans="1:6" x14ac:dyDescent="0.35">
      <c r="A236" s="8">
        <v>45630</v>
      </c>
      <c r="B236" s="7">
        <v>5.3185917189722143E-3</v>
      </c>
      <c r="D236" s="6" t="str">
        <f t="shared" si="9"/>
        <v>12/04/2024</v>
      </c>
      <c r="E236" s="6" t="str">
        <f t="shared" si="10"/>
        <v>NBI Index</v>
      </c>
      <c r="F236" s="5">
        <f t="shared" si="11"/>
        <v>5.3185917189722143E-3</v>
      </c>
    </row>
    <row r="237" spans="1:6" x14ac:dyDescent="0.35">
      <c r="A237" s="10">
        <v>45631</v>
      </c>
      <c r="B237" s="9">
        <v>-5.3534097051715765E-3</v>
      </c>
      <c r="D237" s="6" t="str">
        <f t="shared" si="9"/>
        <v>12/05/2024</v>
      </c>
      <c r="E237" s="6" t="str">
        <f t="shared" si="10"/>
        <v>NBI Index</v>
      </c>
      <c r="F237" s="5">
        <f t="shared" si="11"/>
        <v>-5.3534097051715765E-3</v>
      </c>
    </row>
    <row r="238" spans="1:6" x14ac:dyDescent="0.35">
      <c r="A238" s="8">
        <v>45632</v>
      </c>
      <c r="B238" s="7">
        <v>1.0851748785944297E-2</v>
      </c>
      <c r="D238" s="6" t="str">
        <f t="shared" si="9"/>
        <v>12/06/2024</v>
      </c>
      <c r="E238" s="6" t="str">
        <f t="shared" si="10"/>
        <v>NBI Index</v>
      </c>
      <c r="F238" s="5">
        <f t="shared" si="11"/>
        <v>1.0851748785944297E-2</v>
      </c>
    </row>
    <row r="239" spans="1:6" x14ac:dyDescent="0.35">
      <c r="A239" s="10">
        <v>45635</v>
      </c>
      <c r="B239" s="9">
        <v>-7.6001787769336328E-4</v>
      </c>
      <c r="D239" s="6" t="str">
        <f t="shared" si="9"/>
        <v>12/09/2024</v>
      </c>
      <c r="E239" s="6" t="str">
        <f t="shared" si="10"/>
        <v>NBI Index</v>
      </c>
      <c r="F239" s="5">
        <f t="shared" si="11"/>
        <v>-7.6001787769336328E-4</v>
      </c>
    </row>
    <row r="240" spans="1:6" x14ac:dyDescent="0.35">
      <c r="A240" s="8">
        <v>45636</v>
      </c>
      <c r="B240" s="7">
        <v>-8.193692671701407E-3</v>
      </c>
      <c r="D240" s="6" t="str">
        <f t="shared" si="9"/>
        <v>12/10/2024</v>
      </c>
      <c r="E240" s="6" t="str">
        <f t="shared" si="10"/>
        <v>NBI Index</v>
      </c>
      <c r="F240" s="5">
        <f t="shared" si="11"/>
        <v>-8.193692671701407E-3</v>
      </c>
    </row>
    <row r="241" spans="1:6" x14ac:dyDescent="0.35">
      <c r="A241" s="10">
        <v>45637</v>
      </c>
      <c r="B241" s="9">
        <v>-2.9651222323163594E-3</v>
      </c>
      <c r="D241" s="6" t="str">
        <f t="shared" si="9"/>
        <v>12/11/2024</v>
      </c>
      <c r="E241" s="6" t="str">
        <f t="shared" si="10"/>
        <v>NBI Index</v>
      </c>
      <c r="F241" s="5">
        <f t="shared" si="11"/>
        <v>-2.9651222323163594E-3</v>
      </c>
    </row>
    <row r="242" spans="1:6" x14ac:dyDescent="0.35">
      <c r="A242" s="8">
        <v>45638</v>
      </c>
      <c r="B242" s="7">
        <v>-1.9958832449818987E-2</v>
      </c>
      <c r="D242" s="6" t="str">
        <f t="shared" si="9"/>
        <v>12/12/2024</v>
      </c>
      <c r="E242" s="6" t="str">
        <f t="shared" si="10"/>
        <v>NBI Index</v>
      </c>
      <c r="F242" s="5">
        <f t="shared" si="11"/>
        <v>-1.9958832449818987E-2</v>
      </c>
    </row>
    <row r="243" spans="1:6" x14ac:dyDescent="0.35">
      <c r="A243" s="10">
        <v>45639</v>
      </c>
      <c r="B243" s="9">
        <v>-7.9008314232967211E-3</v>
      </c>
      <c r="D243" s="6" t="str">
        <f t="shared" si="9"/>
        <v>12/13/2024</v>
      </c>
      <c r="E243" s="6" t="str">
        <f t="shared" si="10"/>
        <v>NBI Index</v>
      </c>
      <c r="F243" s="5">
        <f t="shared" si="11"/>
        <v>-7.9008314232967211E-3</v>
      </c>
    </row>
    <row r="244" spans="1:6" x14ac:dyDescent="0.35">
      <c r="A244" s="8">
        <v>45642</v>
      </c>
      <c r="B244" s="7">
        <v>7.7825737826233976E-3</v>
      </c>
      <c r="D244" s="6" t="str">
        <f t="shared" si="9"/>
        <v>12/16/2024</v>
      </c>
      <c r="E244" s="6" t="str">
        <f t="shared" si="10"/>
        <v>NBI Index</v>
      </c>
      <c r="F244" s="5">
        <f t="shared" si="11"/>
        <v>7.7825737826233976E-3</v>
      </c>
    </row>
    <row r="245" spans="1:6" x14ac:dyDescent="0.35">
      <c r="A245" s="10">
        <v>45643</v>
      </c>
      <c r="B245" s="9">
        <v>4.1424595407136477E-3</v>
      </c>
      <c r="D245" s="6" t="str">
        <f t="shared" si="9"/>
        <v>12/17/2024</v>
      </c>
      <c r="E245" s="6" t="str">
        <f t="shared" si="10"/>
        <v>NBI Index</v>
      </c>
      <c r="F245" s="5">
        <f t="shared" si="11"/>
        <v>4.1424595407136477E-3</v>
      </c>
    </row>
    <row r="246" spans="1:6" x14ac:dyDescent="0.35">
      <c r="A246" s="8">
        <v>45644</v>
      </c>
      <c r="B246" s="7">
        <v>-3.9931184554755486E-2</v>
      </c>
      <c r="D246" s="6" t="str">
        <f t="shared" si="9"/>
        <v>12/18/2024</v>
      </c>
      <c r="E246" s="6" t="str">
        <f t="shared" si="10"/>
        <v>NBI Index</v>
      </c>
      <c r="F246" s="5">
        <f t="shared" si="11"/>
        <v>-3.9931184554755486E-2</v>
      </c>
    </row>
    <row r="247" spans="1:6" x14ac:dyDescent="0.35">
      <c r="A247" s="10">
        <v>45645</v>
      </c>
      <c r="B247" s="9">
        <v>-6.8853111818009708E-3</v>
      </c>
      <c r="D247" s="6" t="str">
        <f t="shared" si="9"/>
        <v>12/19/2024</v>
      </c>
      <c r="E247" s="6" t="str">
        <f t="shared" si="10"/>
        <v>NBI Index</v>
      </c>
      <c r="F247" s="5">
        <f t="shared" si="11"/>
        <v>-6.8853111818009708E-3</v>
      </c>
    </row>
    <row r="248" spans="1:6" x14ac:dyDescent="0.35">
      <c r="A248" s="8">
        <v>45646</v>
      </c>
      <c r="B248" s="7">
        <v>9.1220626631852032E-3</v>
      </c>
      <c r="D248" s="6" t="str">
        <f t="shared" si="9"/>
        <v>12/20/2024</v>
      </c>
      <c r="E248" s="6" t="str">
        <f t="shared" si="10"/>
        <v>NBI Index</v>
      </c>
      <c r="F248" s="5">
        <f t="shared" si="11"/>
        <v>9.1220626631852032E-3</v>
      </c>
    </row>
    <row r="249" spans="1:6" x14ac:dyDescent="0.35">
      <c r="A249" s="10">
        <v>45649</v>
      </c>
      <c r="B249" s="9">
        <v>8.2079501378004502E-3</v>
      </c>
      <c r="D249" s="6" t="str">
        <f t="shared" si="9"/>
        <v>12/23/2024</v>
      </c>
      <c r="E249" s="6" t="str">
        <f t="shared" si="10"/>
        <v>NBI Index</v>
      </c>
      <c r="F249" s="5">
        <f t="shared" si="11"/>
        <v>8.2079501378004502E-3</v>
      </c>
    </row>
    <row r="250" spans="1:6" x14ac:dyDescent="0.35">
      <c r="A250" s="8">
        <v>45650</v>
      </c>
      <c r="B250" s="7">
        <v>2.0622052764958589E-3</v>
      </c>
      <c r="D250" s="6" t="str">
        <f t="shared" si="9"/>
        <v>12/24/2024</v>
      </c>
      <c r="E250" s="6" t="str">
        <f t="shared" si="10"/>
        <v>NBI Index</v>
      </c>
      <c r="F250" s="5">
        <f t="shared" si="11"/>
        <v>2.0622052764958589E-3</v>
      </c>
    </row>
    <row r="251" spans="1:6" x14ac:dyDescent="0.35">
      <c r="A251" s="10">
        <v>45652</v>
      </c>
      <c r="B251" s="9">
        <v>6.4482788583343966E-3</v>
      </c>
      <c r="D251" s="6" t="str">
        <f t="shared" si="9"/>
        <v>12/26/2024</v>
      </c>
      <c r="E251" s="6" t="str">
        <f t="shared" si="10"/>
        <v>NBI Index</v>
      </c>
      <c r="F251" s="5">
        <f t="shared" si="11"/>
        <v>6.4482788583343966E-3</v>
      </c>
    </row>
    <row r="252" spans="1:6" x14ac:dyDescent="0.35">
      <c r="A252" s="8">
        <v>45653</v>
      </c>
      <c r="B252" s="7">
        <v>-1.0289767486243072E-2</v>
      </c>
      <c r="D252" s="6" t="str">
        <f t="shared" si="9"/>
        <v>12/27/2024</v>
      </c>
      <c r="E252" s="6" t="str">
        <f t="shared" si="10"/>
        <v>NBI Index</v>
      </c>
      <c r="F252" s="5">
        <f t="shared" si="11"/>
        <v>-1.0289767486243072E-2</v>
      </c>
    </row>
    <row r="253" spans="1:6" x14ac:dyDescent="0.35">
      <c r="A253" s="10">
        <v>45656</v>
      </c>
      <c r="B253" s="9">
        <v>-1.5385074503520387E-2</v>
      </c>
      <c r="D253" s="6" t="str">
        <f t="shared" si="9"/>
        <v>12/30/2024</v>
      </c>
      <c r="E253" s="6" t="str">
        <f t="shared" si="10"/>
        <v>NBI Index</v>
      </c>
      <c r="F253" s="5">
        <f t="shared" si="11"/>
        <v>-1.5385074503520387E-2</v>
      </c>
    </row>
    <row r="254" spans="1:6" x14ac:dyDescent="0.35">
      <c r="A254" s="8">
        <v>45657</v>
      </c>
      <c r="B254" s="7">
        <v>5.007985265145818E-3</v>
      </c>
      <c r="D254" s="6" t="str">
        <f t="shared" si="9"/>
        <v>12/31/2024</v>
      </c>
      <c r="E254" s="6" t="str">
        <f t="shared" si="10"/>
        <v>NBI Index</v>
      </c>
      <c r="F254" s="5">
        <f t="shared" si="11"/>
        <v>5.007985265145818E-3</v>
      </c>
    </row>
    <row r="255" spans="1:6" x14ac:dyDescent="0.35">
      <c r="A255" s="10">
        <v>45659</v>
      </c>
      <c r="B255" s="9">
        <v>6.4329343970601421E-3</v>
      </c>
      <c r="D255" s="6" t="str">
        <f t="shared" si="9"/>
        <v>01/02/2025</v>
      </c>
      <c r="E255" s="6" t="str">
        <f t="shared" si="10"/>
        <v>NBI Index</v>
      </c>
      <c r="F255" s="5">
        <f t="shared" si="11"/>
        <v>6.4329343970601421E-3</v>
      </c>
    </row>
    <row r="256" spans="1:6" x14ac:dyDescent="0.35">
      <c r="A256" s="8">
        <v>45660</v>
      </c>
      <c r="B256" s="7">
        <v>7.6180860970504914E-3</v>
      </c>
      <c r="D256" s="6" t="str">
        <f t="shared" si="9"/>
        <v>01/03/2025</v>
      </c>
      <c r="E256" s="6" t="str">
        <f t="shared" si="10"/>
        <v>NBI Index</v>
      </c>
      <c r="F256" s="5">
        <f t="shared" si="11"/>
        <v>7.6180860970504914E-3</v>
      </c>
    </row>
    <row r="257" spans="1:6" x14ac:dyDescent="0.35">
      <c r="A257" s="10">
        <v>45663</v>
      </c>
      <c r="B257" s="9">
        <v>-2.1183096529494147E-3</v>
      </c>
      <c r="D257" s="6" t="str">
        <f t="shared" si="9"/>
        <v>01/06/2025</v>
      </c>
      <c r="E257" s="6" t="str">
        <f t="shared" si="10"/>
        <v>NBI Index</v>
      </c>
      <c r="F257" s="5">
        <f t="shared" si="11"/>
        <v>-2.1183096529494147E-3</v>
      </c>
    </row>
    <row r="258" spans="1:6" x14ac:dyDescent="0.35">
      <c r="A258" s="8">
        <v>45664</v>
      </c>
      <c r="B258" s="7">
        <v>8.5301972651101159E-3</v>
      </c>
      <c r="D258" s="6" t="str">
        <f t="shared" si="9"/>
        <v>01/07/2025</v>
      </c>
      <c r="E258" s="6" t="str">
        <f t="shared" si="10"/>
        <v>NBI Index</v>
      </c>
      <c r="F258" s="5">
        <f t="shared" si="11"/>
        <v>8.5301972651101159E-3</v>
      </c>
    </row>
    <row r="259" spans="1:6" x14ac:dyDescent="0.35">
      <c r="A259" s="10">
        <v>45665</v>
      </c>
      <c r="B259" s="9">
        <v>-5.507619290078542E-3</v>
      </c>
      <c r="D259" s="6" t="str">
        <f t="shared" ref="D259:D280" si="12">IF(A259 =  "", "",  TEXT(A259, "mm/dd/yyyy"))</f>
        <v>01/08/2025</v>
      </c>
      <c r="E259" s="6" t="str">
        <f t="shared" ref="E259:E280" si="13">IF(A259="", "", EntityLocal)</f>
        <v>NBI Index</v>
      </c>
      <c r="F259" s="5">
        <f t="shared" ref="F259:F280" si="14">IF(B259="","", B259)</f>
        <v>-5.507619290078542E-3</v>
      </c>
    </row>
    <row r="260" spans="1:6" x14ac:dyDescent="0.35">
      <c r="A260" s="8">
        <v>45667</v>
      </c>
      <c r="B260" s="7">
        <v>-1.8200602039253742E-2</v>
      </c>
      <c r="D260" s="6" t="str">
        <f t="shared" si="12"/>
        <v>01/10/2025</v>
      </c>
      <c r="E260" s="6" t="str">
        <f t="shared" si="13"/>
        <v>NBI Index</v>
      </c>
      <c r="F260" s="5">
        <f t="shared" si="14"/>
        <v>-1.8200602039253742E-2</v>
      </c>
    </row>
    <row r="261" spans="1:6" x14ac:dyDescent="0.35">
      <c r="A261" s="10">
        <v>45670</v>
      </c>
      <c r="B261" s="9">
        <v>8.1294377837272929E-3</v>
      </c>
      <c r="D261" s="6" t="str">
        <f t="shared" si="12"/>
        <v>01/13/2025</v>
      </c>
      <c r="E261" s="6" t="str">
        <f t="shared" si="13"/>
        <v>NBI Index</v>
      </c>
      <c r="F261" s="5">
        <f t="shared" si="14"/>
        <v>8.1294377837272929E-3</v>
      </c>
    </row>
    <row r="262" spans="1:6" x14ac:dyDescent="0.35">
      <c r="A262" s="8">
        <v>45671</v>
      </c>
      <c r="B262" s="7">
        <v>-1.8443938463243801E-2</v>
      </c>
      <c r="D262" s="6" t="str">
        <f t="shared" si="12"/>
        <v>01/14/2025</v>
      </c>
      <c r="E262" s="6" t="str">
        <f t="shared" si="13"/>
        <v>NBI Index</v>
      </c>
      <c r="F262" s="5">
        <f t="shared" si="14"/>
        <v>-1.8443938463243801E-2</v>
      </c>
    </row>
    <row r="263" spans="1:6" x14ac:dyDescent="0.35">
      <c r="A263" s="10">
        <v>45672</v>
      </c>
      <c r="B263" s="9">
        <v>1.9352789638987993E-2</v>
      </c>
      <c r="D263" s="6" t="str">
        <f t="shared" si="12"/>
        <v>01/15/2025</v>
      </c>
      <c r="E263" s="6" t="str">
        <f t="shared" si="13"/>
        <v>NBI Index</v>
      </c>
      <c r="F263" s="5">
        <f t="shared" si="14"/>
        <v>1.9352789638987993E-2</v>
      </c>
    </row>
    <row r="264" spans="1:6" x14ac:dyDescent="0.35">
      <c r="A264" s="8">
        <v>45673</v>
      </c>
      <c r="B264" s="7">
        <v>-4.542087005892384E-3</v>
      </c>
      <c r="D264" s="6" t="str">
        <f t="shared" si="12"/>
        <v>01/16/2025</v>
      </c>
      <c r="E264" s="6" t="str">
        <f t="shared" si="13"/>
        <v>NBI Index</v>
      </c>
      <c r="F264" s="5">
        <f t="shared" si="14"/>
        <v>-4.542087005892384E-3</v>
      </c>
    </row>
    <row r="265" spans="1:6" x14ac:dyDescent="0.35">
      <c r="A265" s="10">
        <v>45674</v>
      </c>
      <c r="B265" s="9">
        <v>1.3679161073294315E-4</v>
      </c>
      <c r="D265" s="6" t="str">
        <f t="shared" si="12"/>
        <v>01/17/2025</v>
      </c>
      <c r="E265" s="6" t="str">
        <f t="shared" si="13"/>
        <v>NBI Index</v>
      </c>
      <c r="F265" s="5">
        <f t="shared" si="14"/>
        <v>1.3679161073294315E-4</v>
      </c>
    </row>
    <row r="266" spans="1:6" x14ac:dyDescent="0.35">
      <c r="A266" s="8">
        <v>45678</v>
      </c>
      <c r="B266" s="7">
        <v>2.6531624676613044E-2</v>
      </c>
      <c r="D266" s="6" t="str">
        <f t="shared" si="12"/>
        <v>01/21/2025</v>
      </c>
      <c r="E266" s="6" t="str">
        <f t="shared" si="13"/>
        <v>NBI Index</v>
      </c>
      <c r="F266" s="5">
        <f t="shared" si="14"/>
        <v>2.6531624676613044E-2</v>
      </c>
    </row>
    <row r="267" spans="1:6" x14ac:dyDescent="0.35">
      <c r="A267" s="10">
        <v>45679</v>
      </c>
      <c r="B267" s="9">
        <v>2.9696240207580226E-3</v>
      </c>
      <c r="D267" s="6" t="str">
        <f t="shared" si="12"/>
        <v>01/22/2025</v>
      </c>
      <c r="E267" s="6" t="str">
        <f t="shared" si="13"/>
        <v>NBI Index</v>
      </c>
      <c r="F267" s="5">
        <f t="shared" si="14"/>
        <v>2.9696240207580226E-3</v>
      </c>
    </row>
    <row r="268" spans="1:6" x14ac:dyDescent="0.35">
      <c r="A268" s="8">
        <v>45680</v>
      </c>
      <c r="B268" s="7">
        <v>1.6461322309583745E-2</v>
      </c>
      <c r="D268" s="6" t="str">
        <f t="shared" si="12"/>
        <v>01/23/2025</v>
      </c>
      <c r="E268" s="6" t="str">
        <f t="shared" si="13"/>
        <v>NBI Index</v>
      </c>
      <c r="F268" s="5">
        <f t="shared" si="14"/>
        <v>1.6461322309583745E-2</v>
      </c>
    </row>
    <row r="269" spans="1:6" x14ac:dyDescent="0.35">
      <c r="A269" s="10">
        <v>45681</v>
      </c>
      <c r="B269" s="9">
        <v>-5.5377976843145847E-3</v>
      </c>
      <c r="D269" s="6" t="str">
        <f t="shared" si="12"/>
        <v>01/24/2025</v>
      </c>
      <c r="E269" s="6" t="str">
        <f t="shared" si="13"/>
        <v>NBI Index</v>
      </c>
      <c r="F269" s="5">
        <f t="shared" si="14"/>
        <v>-5.5377976843145847E-3</v>
      </c>
    </row>
    <row r="270" spans="1:6" x14ac:dyDescent="0.35">
      <c r="A270" s="8">
        <v>45684</v>
      </c>
      <c r="B270" s="7">
        <v>8.0567020757646435E-3</v>
      </c>
      <c r="D270" s="6" t="str">
        <f t="shared" si="12"/>
        <v>01/27/2025</v>
      </c>
      <c r="E270" s="6" t="str">
        <f t="shared" si="13"/>
        <v>NBI Index</v>
      </c>
      <c r="F270" s="5">
        <f t="shared" si="14"/>
        <v>8.0567020757646435E-3</v>
      </c>
    </row>
    <row r="271" spans="1:6" x14ac:dyDescent="0.35">
      <c r="A271" s="10">
        <v>45685</v>
      </c>
      <c r="B271" s="9">
        <v>-1.2683401095988146E-3</v>
      </c>
      <c r="D271" s="6" t="str">
        <f t="shared" si="12"/>
        <v>01/28/2025</v>
      </c>
      <c r="E271" s="6" t="str">
        <f t="shared" si="13"/>
        <v>NBI Index</v>
      </c>
      <c r="F271" s="5">
        <f t="shared" si="14"/>
        <v>-1.2683401095988146E-3</v>
      </c>
    </row>
    <row r="272" spans="1:6" x14ac:dyDescent="0.35">
      <c r="A272" s="8">
        <v>45686</v>
      </c>
      <c r="B272" s="7">
        <v>-2.5553888837262896E-3</v>
      </c>
      <c r="D272" s="6" t="str">
        <f t="shared" si="12"/>
        <v>01/29/2025</v>
      </c>
      <c r="E272" s="6" t="str">
        <f t="shared" si="13"/>
        <v>NBI Index</v>
      </c>
      <c r="F272" s="5">
        <f t="shared" si="14"/>
        <v>-2.5553888837262896E-3</v>
      </c>
    </row>
    <row r="273" spans="1:6" x14ac:dyDescent="0.35">
      <c r="A273" s="10">
        <v>45687</v>
      </c>
      <c r="B273" s="9">
        <v>8.8503230700638612E-3</v>
      </c>
      <c r="D273" s="6" t="str">
        <f t="shared" si="12"/>
        <v>01/30/2025</v>
      </c>
      <c r="E273" s="6" t="str">
        <f t="shared" si="13"/>
        <v>NBI Index</v>
      </c>
      <c r="F273" s="5">
        <f t="shared" si="14"/>
        <v>8.8503230700638612E-3</v>
      </c>
    </row>
    <row r="274" spans="1:6" x14ac:dyDescent="0.35">
      <c r="A274" s="8">
        <v>45688</v>
      </c>
      <c r="B274" s="7">
        <v>-3.3991394416705103E-3</v>
      </c>
      <c r="D274" s="6" t="str">
        <f t="shared" si="12"/>
        <v>01/31/2025</v>
      </c>
      <c r="E274" s="6" t="str">
        <f t="shared" si="13"/>
        <v>NBI Index</v>
      </c>
      <c r="F274" s="5">
        <f t="shared" si="14"/>
        <v>-3.3991394416705103E-3</v>
      </c>
    </row>
    <row r="275" spans="1:6" x14ac:dyDescent="0.35">
      <c r="A275" s="10">
        <v>45691</v>
      </c>
      <c r="B275" s="9">
        <v>-7.1104737741987251E-3</v>
      </c>
      <c r="D275" s="6" t="str">
        <f t="shared" si="12"/>
        <v>02/03/2025</v>
      </c>
      <c r="E275" s="6" t="str">
        <f t="shared" si="13"/>
        <v>NBI Index</v>
      </c>
      <c r="F275" s="5">
        <f t="shared" si="14"/>
        <v>-7.1104737741987251E-3</v>
      </c>
    </row>
    <row r="276" spans="1:6" x14ac:dyDescent="0.35">
      <c r="A276" s="8">
        <v>45692</v>
      </c>
      <c r="B276" s="7">
        <v>8.336814412556617E-3</v>
      </c>
      <c r="D276" s="6" t="str">
        <f t="shared" si="12"/>
        <v>02/04/2025</v>
      </c>
      <c r="E276" s="6" t="str">
        <f t="shared" si="13"/>
        <v>NBI Index</v>
      </c>
      <c r="F276" s="5">
        <f t="shared" si="14"/>
        <v>8.336814412556617E-3</v>
      </c>
    </row>
    <row r="277" spans="1:6" x14ac:dyDescent="0.35">
      <c r="A277" s="10">
        <v>45693</v>
      </c>
      <c r="B277" s="9">
        <v>2.4979947290019427E-2</v>
      </c>
      <c r="D277" s="6" t="str">
        <f t="shared" si="12"/>
        <v>02/05/2025</v>
      </c>
      <c r="E277" s="6" t="str">
        <f t="shared" si="13"/>
        <v>NBI Index</v>
      </c>
      <c r="F277" s="5">
        <f t="shared" si="14"/>
        <v>2.4979947290019427E-2</v>
      </c>
    </row>
    <row r="278" spans="1:6" x14ac:dyDescent="0.35">
      <c r="A278" s="8">
        <v>45694</v>
      </c>
      <c r="B278" s="7">
        <v>-1.3090682375198842E-2</v>
      </c>
      <c r="D278" s="6" t="str">
        <f t="shared" si="12"/>
        <v>02/06/2025</v>
      </c>
      <c r="E278" s="6" t="str">
        <f t="shared" si="13"/>
        <v>NBI Index</v>
      </c>
      <c r="F278" s="5">
        <f t="shared" si="14"/>
        <v>-1.3090682375198842E-2</v>
      </c>
    </row>
    <row r="279" spans="1:6" x14ac:dyDescent="0.35">
      <c r="A279" s="10">
        <v>45695</v>
      </c>
      <c r="B279" s="9">
        <v>-1.9686265796175027E-2</v>
      </c>
      <c r="D279" s="6" t="str">
        <f t="shared" si="12"/>
        <v>02/07/2025</v>
      </c>
      <c r="E279" s="6" t="str">
        <f t="shared" si="13"/>
        <v>NBI Index</v>
      </c>
      <c r="F279" s="5">
        <f t="shared" si="14"/>
        <v>-1.9686265796175027E-2</v>
      </c>
    </row>
    <row r="280" spans="1:6" x14ac:dyDescent="0.35">
      <c r="A280" s="8"/>
      <c r="B280" s="7"/>
      <c r="D280" s="6" t="str">
        <f t="shared" si="12"/>
        <v/>
      </c>
      <c r="E280" s="6" t="str">
        <f t="shared" si="13"/>
        <v/>
      </c>
      <c r="F280" s="5" t="str">
        <f t="shared" si="14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88D0-20ED-4B54-AA87-AE7EDA1C7199}">
  <sheetPr codeName="Sheet4"/>
  <dimension ref="A1:F300"/>
  <sheetViews>
    <sheetView showGridLines="0" zoomScale="91" zoomScaleNormal="91" workbookViewId="0">
      <pane xSplit="2" ySplit="2" topLeftCell="C256" activePane="bottomRight" state="frozen"/>
      <selection activeCell="B2" sqref="B2"/>
      <selection pane="topRight" activeCell="B2" sqref="B2"/>
      <selection pane="bottomLeft" activeCell="B2" sqref="B2"/>
      <selection pane="bottomRight" activeCell="A285" sqref="A285"/>
    </sheetView>
  </sheetViews>
  <sheetFormatPr defaultRowHeight="14.5" x14ac:dyDescent="0.35"/>
  <cols>
    <col min="1" max="1" width="17.7265625" style="4" customWidth="1"/>
    <col min="2" max="2" width="17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_xll.BQL("HFRXEMN Index", "dropna(day_to_day_tot_return_gross_dvds(dates=range(2024-01-01, 2025-12-31)))","cols=2;rows=283")</f>
        <v/>
      </c>
      <c r="B1" s="18" t="s">
        <v>5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-2.6769823033235881E-3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HFRXEMN Index</v>
      </c>
      <c r="F3" s="5">
        <f t="shared" ref="F3:F66" si="2">IF(B3="","", B3)</f>
        <v>-2.6769823033235881E-3</v>
      </c>
    </row>
    <row r="4" spans="1:6" x14ac:dyDescent="0.35">
      <c r="A4" s="8">
        <v>45294</v>
      </c>
      <c r="B4" s="7">
        <v>-6.5234418011351906E-4</v>
      </c>
      <c r="D4" s="6" t="str">
        <f t="shared" si="0"/>
        <v>01/03/2024</v>
      </c>
      <c r="E4" s="6" t="str">
        <f t="shared" si="1"/>
        <v>HFRXEMN Index</v>
      </c>
      <c r="F4" s="5">
        <f t="shared" si="2"/>
        <v>-6.5234418011351906E-4</v>
      </c>
    </row>
    <row r="5" spans="1:6" x14ac:dyDescent="0.35">
      <c r="A5" s="10">
        <v>45295</v>
      </c>
      <c r="B5" s="9">
        <v>5.9975843351828294E-4</v>
      </c>
      <c r="D5" s="6" t="str">
        <f t="shared" si="0"/>
        <v>01/04/2024</v>
      </c>
      <c r="E5" s="6" t="str">
        <f t="shared" si="1"/>
        <v>HFRXEMN Index</v>
      </c>
      <c r="F5" s="5">
        <f t="shared" si="2"/>
        <v>5.9975843351828294E-4</v>
      </c>
    </row>
    <row r="6" spans="1:6" x14ac:dyDescent="0.35">
      <c r="A6" s="8">
        <v>45296</v>
      </c>
      <c r="B6" s="7">
        <v>-8.8299670382444248E-5</v>
      </c>
      <c r="D6" s="6" t="str">
        <f t="shared" si="0"/>
        <v>01/05/2024</v>
      </c>
      <c r="E6" s="6" t="str">
        <f t="shared" si="1"/>
        <v>HFRXEMN Index</v>
      </c>
      <c r="F6" s="5">
        <f t="shared" si="2"/>
        <v>-8.8299670382444248E-5</v>
      </c>
    </row>
    <row r="7" spans="1:6" x14ac:dyDescent="0.35">
      <c r="A7" s="10">
        <v>45299</v>
      </c>
      <c r="B7" s="9">
        <v>1.0960515133821656E-3</v>
      </c>
      <c r="D7" s="6" t="str">
        <f t="shared" si="0"/>
        <v>01/08/2024</v>
      </c>
      <c r="E7" s="6" t="str">
        <f t="shared" si="1"/>
        <v>HFRXEMN Index</v>
      </c>
      <c r="F7" s="5">
        <f t="shared" si="2"/>
        <v>1.0960515133821656E-3</v>
      </c>
    </row>
    <row r="8" spans="1:6" x14ac:dyDescent="0.35">
      <c r="A8" s="8">
        <v>45300</v>
      </c>
      <c r="B8" s="7">
        <v>6.1021107284027877E-4</v>
      </c>
      <c r="D8" s="6" t="str">
        <f t="shared" si="0"/>
        <v>01/09/2024</v>
      </c>
      <c r="E8" s="6" t="str">
        <f t="shared" si="1"/>
        <v>HFRXEMN Index</v>
      </c>
      <c r="F8" s="5">
        <f t="shared" si="2"/>
        <v>6.1021107284027877E-4</v>
      </c>
    </row>
    <row r="9" spans="1:6" x14ac:dyDescent="0.35">
      <c r="A9" s="10">
        <v>45301</v>
      </c>
      <c r="B9" s="9">
        <v>7.8096721700832801E-4</v>
      </c>
      <c r="D9" s="6" t="str">
        <f t="shared" si="0"/>
        <v>01/10/2024</v>
      </c>
      <c r="E9" s="6" t="str">
        <f t="shared" si="1"/>
        <v>HFRXEMN Index</v>
      </c>
      <c r="F9" s="5">
        <f t="shared" si="2"/>
        <v>7.8096721700832801E-4</v>
      </c>
    </row>
    <row r="10" spans="1:6" x14ac:dyDescent="0.35">
      <c r="A10" s="8">
        <v>45302</v>
      </c>
      <c r="B10" s="7">
        <v>1.1016206155395746E-3</v>
      </c>
      <c r="D10" s="6" t="str">
        <f t="shared" si="0"/>
        <v>01/11/2024</v>
      </c>
      <c r="E10" s="6" t="str">
        <f t="shared" si="1"/>
        <v>HFRXEMN Index</v>
      </c>
      <c r="F10" s="5">
        <f t="shared" si="2"/>
        <v>1.1016206155395746E-3</v>
      </c>
    </row>
    <row r="11" spans="1:6" x14ac:dyDescent="0.35">
      <c r="A11" s="10">
        <v>45303</v>
      </c>
      <c r="B11" s="9">
        <v>4.5548418486452406E-4</v>
      </c>
      <c r="D11" s="6" t="str">
        <f t="shared" si="0"/>
        <v>01/12/2024</v>
      </c>
      <c r="E11" s="6" t="str">
        <f t="shared" si="1"/>
        <v>HFRXEMN Index</v>
      </c>
      <c r="F11" s="5">
        <f t="shared" si="2"/>
        <v>4.5548418486452406E-4</v>
      </c>
    </row>
    <row r="12" spans="1:6" x14ac:dyDescent="0.35">
      <c r="A12" s="8">
        <v>45306</v>
      </c>
      <c r="B12" s="7">
        <v>2.3798560704427514E-4</v>
      </c>
      <c r="D12" s="6" t="str">
        <f t="shared" si="0"/>
        <v>01/15/2024</v>
      </c>
      <c r="E12" s="6" t="str">
        <f t="shared" si="1"/>
        <v>HFRXEMN Index</v>
      </c>
      <c r="F12" s="5">
        <f t="shared" si="2"/>
        <v>2.3798560704427514E-4</v>
      </c>
    </row>
    <row r="13" spans="1:6" x14ac:dyDescent="0.35">
      <c r="A13" s="10">
        <v>45307</v>
      </c>
      <c r="B13" s="9">
        <v>-1.3779191558693394E-3</v>
      </c>
      <c r="D13" s="6" t="str">
        <f t="shared" si="0"/>
        <v>01/16/2024</v>
      </c>
      <c r="E13" s="6" t="str">
        <f t="shared" si="1"/>
        <v>HFRXEMN Index</v>
      </c>
      <c r="F13" s="5">
        <f t="shared" si="2"/>
        <v>-1.3779191558693394E-3</v>
      </c>
    </row>
    <row r="14" spans="1:6" x14ac:dyDescent="0.35">
      <c r="A14" s="8">
        <v>45308</v>
      </c>
      <c r="B14" s="7">
        <v>6.5986908280275228E-4</v>
      </c>
      <c r="D14" s="6" t="str">
        <f t="shared" si="0"/>
        <v>01/17/2024</v>
      </c>
      <c r="E14" s="6" t="str">
        <f t="shared" si="1"/>
        <v>HFRXEMN Index</v>
      </c>
      <c r="F14" s="5">
        <f t="shared" si="2"/>
        <v>6.5986908280275228E-4</v>
      </c>
    </row>
    <row r="15" spans="1:6" x14ac:dyDescent="0.35">
      <c r="A15" s="10">
        <v>45309</v>
      </c>
      <c r="B15" s="9">
        <v>1.7391664423693554E-3</v>
      </c>
      <c r="D15" s="6" t="str">
        <f t="shared" si="0"/>
        <v>01/18/2024</v>
      </c>
      <c r="E15" s="6" t="str">
        <f t="shared" si="1"/>
        <v>HFRXEMN Index</v>
      </c>
      <c r="F15" s="5">
        <f t="shared" si="2"/>
        <v>1.7391664423693554E-3</v>
      </c>
    </row>
    <row r="16" spans="1:6" x14ac:dyDescent="0.35">
      <c r="A16" s="8">
        <v>45310</v>
      </c>
      <c r="B16" s="7">
        <v>3.3472500671723878E-3</v>
      </c>
      <c r="D16" s="6" t="str">
        <f t="shared" si="0"/>
        <v>01/19/2024</v>
      </c>
      <c r="E16" s="6" t="str">
        <f t="shared" si="1"/>
        <v>HFRXEMN Index</v>
      </c>
      <c r="F16" s="5">
        <f t="shared" si="2"/>
        <v>3.3472500671723878E-3</v>
      </c>
    </row>
    <row r="17" spans="1:6" x14ac:dyDescent="0.35">
      <c r="A17" s="10">
        <v>45313</v>
      </c>
      <c r="B17" s="9">
        <v>1.2627472064550473E-3</v>
      </c>
      <c r="D17" s="6" t="str">
        <f t="shared" si="0"/>
        <v>01/22/2024</v>
      </c>
      <c r="E17" s="6" t="str">
        <f t="shared" si="1"/>
        <v>HFRXEMN Index</v>
      </c>
      <c r="F17" s="5">
        <f t="shared" si="2"/>
        <v>1.2627472064550473E-3</v>
      </c>
    </row>
    <row r="18" spans="1:6" x14ac:dyDescent="0.35">
      <c r="A18" s="8">
        <v>45314</v>
      </c>
      <c r="B18" s="7">
        <v>-1.9441944194415793E-4</v>
      </c>
      <c r="D18" s="6" t="str">
        <f t="shared" si="0"/>
        <v>01/23/2024</v>
      </c>
      <c r="E18" s="6" t="str">
        <f t="shared" si="1"/>
        <v>HFRXEMN Index</v>
      </c>
      <c r="F18" s="5">
        <f t="shared" si="2"/>
        <v>-1.9441944194415793E-4</v>
      </c>
    </row>
    <row r="19" spans="1:6" x14ac:dyDescent="0.35">
      <c r="A19" s="10">
        <v>45315</v>
      </c>
      <c r="B19" s="9">
        <v>1.9507457281137423E-3</v>
      </c>
      <c r="D19" s="6" t="str">
        <f t="shared" si="0"/>
        <v>01/24/2024</v>
      </c>
      <c r="E19" s="6" t="str">
        <f t="shared" si="1"/>
        <v>HFRXEMN Index</v>
      </c>
      <c r="F19" s="5">
        <f t="shared" si="2"/>
        <v>1.9507457281137423E-3</v>
      </c>
    </row>
    <row r="20" spans="1:6" x14ac:dyDescent="0.35">
      <c r="A20" s="8">
        <v>45316</v>
      </c>
      <c r="B20" s="7">
        <v>2.2313910407544646E-3</v>
      </c>
      <c r="D20" s="6" t="str">
        <f t="shared" si="0"/>
        <v>01/25/2024</v>
      </c>
      <c r="E20" s="6" t="str">
        <f t="shared" si="1"/>
        <v>HFRXEMN Index</v>
      </c>
      <c r="F20" s="5">
        <f t="shared" si="2"/>
        <v>2.2313910407544646E-3</v>
      </c>
    </row>
    <row r="21" spans="1:6" x14ac:dyDescent="0.35">
      <c r="A21" s="10">
        <v>45317</v>
      </c>
      <c r="B21" s="9">
        <v>-9.7540483911455185E-4</v>
      </c>
      <c r="D21" s="6" t="str">
        <f t="shared" si="0"/>
        <v>01/26/2024</v>
      </c>
      <c r="E21" s="6" t="str">
        <f t="shared" si="1"/>
        <v>HFRXEMN Index</v>
      </c>
      <c r="F21" s="5">
        <f t="shared" si="2"/>
        <v>-9.7540483911455185E-4</v>
      </c>
    </row>
    <row r="22" spans="1:6" x14ac:dyDescent="0.35">
      <c r="A22" s="8">
        <v>45320</v>
      </c>
      <c r="B22" s="7">
        <v>1.957842291649779E-3</v>
      </c>
      <c r="D22" s="6" t="str">
        <f t="shared" si="0"/>
        <v>01/29/2024</v>
      </c>
      <c r="E22" s="6" t="str">
        <f t="shared" si="1"/>
        <v>HFRXEMN Index</v>
      </c>
      <c r="F22" s="5">
        <f t="shared" si="2"/>
        <v>1.957842291649779E-3</v>
      </c>
    </row>
    <row r="23" spans="1:6" x14ac:dyDescent="0.35">
      <c r="A23" s="10">
        <v>45321</v>
      </c>
      <c r="B23" s="9">
        <v>3.8793729950603931E-4</v>
      </c>
      <c r="D23" s="6" t="str">
        <f t="shared" si="0"/>
        <v>01/30/2024</v>
      </c>
      <c r="E23" s="6" t="str">
        <f t="shared" si="1"/>
        <v>HFRXEMN Index</v>
      </c>
      <c r="F23" s="5">
        <f t="shared" si="2"/>
        <v>3.8793729950603931E-4</v>
      </c>
    </row>
    <row r="24" spans="1:6" x14ac:dyDescent="0.35">
      <c r="A24" s="8">
        <v>45322</v>
      </c>
      <c r="B24" s="7">
        <v>-2.1763130780351513E-3</v>
      </c>
      <c r="D24" s="6" t="str">
        <f t="shared" si="0"/>
        <v>01/31/2024</v>
      </c>
      <c r="E24" s="6" t="str">
        <f t="shared" si="1"/>
        <v>HFRXEMN Index</v>
      </c>
      <c r="F24" s="5">
        <f t="shared" si="2"/>
        <v>-2.1763130780351513E-3</v>
      </c>
    </row>
    <row r="25" spans="1:6" x14ac:dyDescent="0.35">
      <c r="A25" s="10">
        <v>45323</v>
      </c>
      <c r="B25" s="9">
        <v>2.3840921069631193E-3</v>
      </c>
      <c r="D25" s="6" t="str">
        <f t="shared" si="0"/>
        <v>02/01/2024</v>
      </c>
      <c r="E25" s="6" t="str">
        <f t="shared" si="1"/>
        <v>HFRXEMN Index</v>
      </c>
      <c r="F25" s="5">
        <f t="shared" si="2"/>
        <v>2.3840921069631193E-3</v>
      </c>
    </row>
    <row r="26" spans="1:6" x14ac:dyDescent="0.35">
      <c r="A26" s="8">
        <v>45324</v>
      </c>
      <c r="B26" s="7">
        <v>4.2760442294374583E-4</v>
      </c>
      <c r="D26" s="6" t="str">
        <f t="shared" si="0"/>
        <v>02/02/2024</v>
      </c>
      <c r="E26" s="6" t="str">
        <f t="shared" si="1"/>
        <v>HFRXEMN Index</v>
      </c>
      <c r="F26" s="5">
        <f t="shared" si="2"/>
        <v>4.2760442294374583E-4</v>
      </c>
    </row>
    <row r="27" spans="1:6" x14ac:dyDescent="0.35">
      <c r="A27" s="10">
        <v>45327</v>
      </c>
      <c r="B27" s="9">
        <v>1.340549737871947E-3</v>
      </c>
      <c r="D27" s="6" t="str">
        <f t="shared" si="0"/>
        <v>02/05/2024</v>
      </c>
      <c r="E27" s="6" t="str">
        <f t="shared" si="1"/>
        <v>HFRXEMN Index</v>
      </c>
      <c r="F27" s="5">
        <f t="shared" si="2"/>
        <v>1.340549737871947E-3</v>
      </c>
    </row>
    <row r="28" spans="1:6" x14ac:dyDescent="0.35">
      <c r="A28" s="8">
        <v>45328</v>
      </c>
      <c r="B28" s="7">
        <v>-3.7885440962022747E-4</v>
      </c>
      <c r="D28" s="6" t="str">
        <f t="shared" si="0"/>
        <v>02/06/2024</v>
      </c>
      <c r="E28" s="6" t="str">
        <f t="shared" si="1"/>
        <v>HFRXEMN Index</v>
      </c>
      <c r="F28" s="5">
        <f t="shared" si="2"/>
        <v>-3.7885440962022747E-4</v>
      </c>
    </row>
    <row r="29" spans="1:6" x14ac:dyDescent="0.35">
      <c r="A29" s="10">
        <v>45329</v>
      </c>
      <c r="B29" s="9">
        <v>2.58147690717198E-3</v>
      </c>
      <c r="D29" s="6" t="str">
        <f t="shared" si="0"/>
        <v>02/07/2024</v>
      </c>
      <c r="E29" s="6" t="str">
        <f t="shared" si="1"/>
        <v>HFRXEMN Index</v>
      </c>
      <c r="F29" s="5">
        <f t="shared" si="2"/>
        <v>2.58147690717198E-3</v>
      </c>
    </row>
    <row r="30" spans="1:6" x14ac:dyDescent="0.35">
      <c r="A30" s="8">
        <v>45330</v>
      </c>
      <c r="B30" s="7">
        <v>6.3886760462355369E-4</v>
      </c>
      <c r="D30" s="6" t="str">
        <f t="shared" si="0"/>
        <v>02/08/2024</v>
      </c>
      <c r="E30" s="6" t="str">
        <f t="shared" si="1"/>
        <v>HFRXEMN Index</v>
      </c>
      <c r="F30" s="5">
        <f t="shared" si="2"/>
        <v>6.3886760462355369E-4</v>
      </c>
    </row>
    <row r="31" spans="1:6" x14ac:dyDescent="0.35">
      <c r="A31" s="10">
        <v>45331</v>
      </c>
      <c r="B31" s="9">
        <v>6.7104457915117632E-4</v>
      </c>
      <c r="D31" s="6" t="str">
        <f t="shared" si="0"/>
        <v>02/09/2024</v>
      </c>
      <c r="E31" s="6" t="str">
        <f t="shared" si="1"/>
        <v>HFRXEMN Index</v>
      </c>
      <c r="F31" s="5">
        <f t="shared" si="2"/>
        <v>6.7104457915117632E-4</v>
      </c>
    </row>
    <row r="32" spans="1:6" x14ac:dyDescent="0.35">
      <c r="A32" s="8">
        <v>45334</v>
      </c>
      <c r="B32" s="7">
        <v>-2.2387072483235596E-3</v>
      </c>
      <c r="D32" s="6" t="str">
        <f t="shared" si="0"/>
        <v>02/12/2024</v>
      </c>
      <c r="E32" s="6" t="str">
        <f t="shared" si="1"/>
        <v>HFRXEMN Index</v>
      </c>
      <c r="F32" s="5">
        <f t="shared" si="2"/>
        <v>-2.2387072483235596E-3</v>
      </c>
    </row>
    <row r="33" spans="1:6" x14ac:dyDescent="0.35">
      <c r="A33" s="10">
        <v>45335</v>
      </c>
      <c r="B33" s="9">
        <v>-8.6893555394639075E-4</v>
      </c>
      <c r="D33" s="6" t="str">
        <f t="shared" si="0"/>
        <v>02/13/2024</v>
      </c>
      <c r="E33" s="6" t="str">
        <f t="shared" si="1"/>
        <v>HFRXEMN Index</v>
      </c>
      <c r="F33" s="5">
        <f t="shared" si="2"/>
        <v>-8.6893555394639075E-4</v>
      </c>
    </row>
    <row r="34" spans="1:6" x14ac:dyDescent="0.35">
      <c r="A34" s="8">
        <v>45336</v>
      </c>
      <c r="B34" s="7">
        <v>3.1766187792065873E-3</v>
      </c>
      <c r="D34" s="6" t="str">
        <f t="shared" si="0"/>
        <v>02/14/2024</v>
      </c>
      <c r="E34" s="6" t="str">
        <f t="shared" si="1"/>
        <v>HFRXEMN Index</v>
      </c>
      <c r="F34" s="5">
        <f t="shared" si="2"/>
        <v>3.1766187792065873E-3</v>
      </c>
    </row>
    <row r="35" spans="1:6" x14ac:dyDescent="0.35">
      <c r="A35" s="10">
        <v>45337</v>
      </c>
      <c r="B35" s="9">
        <v>3.9581997822482373E-4</v>
      </c>
      <c r="D35" s="6" t="str">
        <f t="shared" si="0"/>
        <v>02/15/2024</v>
      </c>
      <c r="E35" s="6" t="str">
        <f t="shared" si="1"/>
        <v>HFRXEMN Index</v>
      </c>
      <c r="F35" s="5">
        <f t="shared" si="2"/>
        <v>3.9581997822482373E-4</v>
      </c>
    </row>
    <row r="36" spans="1:6" x14ac:dyDescent="0.35">
      <c r="A36" s="8">
        <v>45338</v>
      </c>
      <c r="B36" s="7">
        <v>-5.8484944958042944E-4</v>
      </c>
      <c r="D36" s="6" t="str">
        <f t="shared" si="0"/>
        <v>02/16/2024</v>
      </c>
      <c r="E36" s="6" t="str">
        <f t="shared" si="1"/>
        <v>HFRXEMN Index</v>
      </c>
      <c r="F36" s="5">
        <f t="shared" si="2"/>
        <v>-5.8484944958042944E-4</v>
      </c>
    </row>
    <row r="37" spans="1:6" x14ac:dyDescent="0.35">
      <c r="A37" s="10">
        <v>45341</v>
      </c>
      <c r="B37" s="9">
        <v>-2.1575763497063772E-4</v>
      </c>
      <c r="D37" s="6" t="str">
        <f t="shared" si="0"/>
        <v>02/19/2024</v>
      </c>
      <c r="E37" s="6" t="str">
        <f t="shared" si="1"/>
        <v>HFRXEMN Index</v>
      </c>
      <c r="F37" s="5">
        <f t="shared" si="2"/>
        <v>-2.1575763497063772E-4</v>
      </c>
    </row>
    <row r="38" spans="1:6" x14ac:dyDescent="0.35">
      <c r="A38" s="8">
        <v>45342</v>
      </c>
      <c r="B38" s="7">
        <v>-7.2477635763233184E-4</v>
      </c>
      <c r="D38" s="6" t="str">
        <f t="shared" si="0"/>
        <v>02/20/2024</v>
      </c>
      <c r="E38" s="6" t="str">
        <f t="shared" si="1"/>
        <v>HFRXEMN Index</v>
      </c>
      <c r="F38" s="5">
        <f t="shared" si="2"/>
        <v>-7.2477635763233184E-4</v>
      </c>
    </row>
    <row r="39" spans="1:6" x14ac:dyDescent="0.35">
      <c r="A39" s="10">
        <v>45343</v>
      </c>
      <c r="B39" s="9">
        <v>-2.6730232463378599E-3</v>
      </c>
      <c r="D39" s="6" t="str">
        <f t="shared" si="0"/>
        <v>02/21/2024</v>
      </c>
      <c r="E39" s="6" t="str">
        <f t="shared" si="1"/>
        <v>HFRXEMN Index</v>
      </c>
      <c r="F39" s="5">
        <f t="shared" si="2"/>
        <v>-2.6730232463378599E-3</v>
      </c>
    </row>
    <row r="40" spans="1:6" x14ac:dyDescent="0.35">
      <c r="A40" s="8">
        <v>45344</v>
      </c>
      <c r="B40" s="7">
        <v>5.0784649389808891E-3</v>
      </c>
      <c r="D40" s="6" t="str">
        <f t="shared" si="0"/>
        <v>02/22/2024</v>
      </c>
      <c r="E40" s="6" t="str">
        <f t="shared" si="1"/>
        <v>HFRXEMN Index</v>
      </c>
      <c r="F40" s="5">
        <f t="shared" si="2"/>
        <v>5.0784649389808891E-3</v>
      </c>
    </row>
    <row r="41" spans="1:6" x14ac:dyDescent="0.35">
      <c r="A41" s="10">
        <v>45345</v>
      </c>
      <c r="B41" s="9">
        <v>2.1158364566141673E-3</v>
      </c>
      <c r="D41" s="6" t="str">
        <f t="shared" si="0"/>
        <v>02/23/2024</v>
      </c>
      <c r="E41" s="6" t="str">
        <f t="shared" si="1"/>
        <v>HFRXEMN Index</v>
      </c>
      <c r="F41" s="5">
        <f t="shared" si="2"/>
        <v>2.1158364566141673E-3</v>
      </c>
    </row>
    <row r="42" spans="1:6" x14ac:dyDescent="0.35">
      <c r="A42" s="8">
        <v>45348</v>
      </c>
      <c r="B42" s="7">
        <v>-8.1128497398859039E-5</v>
      </c>
      <c r="D42" s="6" t="str">
        <f t="shared" si="0"/>
        <v>02/26/2024</v>
      </c>
      <c r="E42" s="6" t="str">
        <f t="shared" si="1"/>
        <v>HFRXEMN Index</v>
      </c>
      <c r="F42" s="5">
        <f t="shared" si="2"/>
        <v>-8.1128497398859039E-5</v>
      </c>
    </row>
    <row r="43" spans="1:6" x14ac:dyDescent="0.35">
      <c r="A43" s="10">
        <v>45349</v>
      </c>
      <c r="B43" s="9">
        <v>1.2433950974128042E-3</v>
      </c>
      <c r="D43" s="6" t="str">
        <f t="shared" si="0"/>
        <v>02/27/2024</v>
      </c>
      <c r="E43" s="6" t="str">
        <f t="shared" si="1"/>
        <v>HFRXEMN Index</v>
      </c>
      <c r="F43" s="5">
        <f t="shared" si="2"/>
        <v>1.2433950974128042E-3</v>
      </c>
    </row>
    <row r="44" spans="1:6" x14ac:dyDescent="0.35">
      <c r="A44" s="8">
        <v>45350</v>
      </c>
      <c r="B44" s="7">
        <v>-9.49114497445405E-4</v>
      </c>
      <c r="D44" s="6" t="str">
        <f t="shared" si="0"/>
        <v>02/28/2024</v>
      </c>
      <c r="E44" s="6" t="str">
        <f t="shared" si="1"/>
        <v>HFRXEMN Index</v>
      </c>
      <c r="F44" s="5">
        <f t="shared" si="2"/>
        <v>-9.49114497445405E-4</v>
      </c>
    </row>
    <row r="45" spans="1:6" x14ac:dyDescent="0.35">
      <c r="A45" s="10">
        <v>45351</v>
      </c>
      <c r="B45" s="9">
        <v>1.4072811591617081E-3</v>
      </c>
      <c r="D45" s="6" t="str">
        <f t="shared" si="0"/>
        <v>02/29/2024</v>
      </c>
      <c r="E45" s="6" t="str">
        <f t="shared" si="1"/>
        <v>HFRXEMN Index</v>
      </c>
      <c r="F45" s="5">
        <f t="shared" si="2"/>
        <v>1.4072811591617081E-3</v>
      </c>
    </row>
    <row r="46" spans="1:6" x14ac:dyDescent="0.35">
      <c r="A46" s="8">
        <v>45352</v>
      </c>
      <c r="B46" s="7">
        <v>8.0794826701171705E-4</v>
      </c>
      <c r="D46" s="6" t="str">
        <f t="shared" si="0"/>
        <v>03/01/2024</v>
      </c>
      <c r="E46" s="6" t="str">
        <f t="shared" si="1"/>
        <v>HFRXEMN Index</v>
      </c>
      <c r="F46" s="5">
        <f t="shared" si="2"/>
        <v>8.0794826701171705E-4</v>
      </c>
    </row>
    <row r="47" spans="1:6" x14ac:dyDescent="0.35">
      <c r="A47" s="10">
        <v>45355</v>
      </c>
      <c r="B47" s="9">
        <v>7.8402808338009914E-4</v>
      </c>
      <c r="D47" s="6" t="str">
        <f t="shared" si="0"/>
        <v>03/04/2024</v>
      </c>
      <c r="E47" s="6" t="str">
        <f t="shared" si="1"/>
        <v>HFRXEMN Index</v>
      </c>
      <c r="F47" s="5">
        <f t="shared" si="2"/>
        <v>7.8402808338009914E-4</v>
      </c>
    </row>
    <row r="48" spans="1:6" x14ac:dyDescent="0.35">
      <c r="A48" s="8">
        <v>45356</v>
      </c>
      <c r="B48" s="7">
        <v>-5.670905525342534E-4</v>
      </c>
      <c r="D48" s="6" t="str">
        <f t="shared" si="0"/>
        <v>03/05/2024</v>
      </c>
      <c r="E48" s="6" t="str">
        <f t="shared" si="1"/>
        <v>HFRXEMN Index</v>
      </c>
      <c r="F48" s="5">
        <f t="shared" si="2"/>
        <v>-5.670905525342534E-4</v>
      </c>
    </row>
    <row r="49" spans="1:6" x14ac:dyDescent="0.35">
      <c r="A49" s="10">
        <v>45357</v>
      </c>
      <c r="B49" s="9">
        <v>2.5488040343933432E-4</v>
      </c>
      <c r="D49" s="6" t="str">
        <f t="shared" si="0"/>
        <v>03/06/2024</v>
      </c>
      <c r="E49" s="6" t="str">
        <f t="shared" si="1"/>
        <v>HFRXEMN Index</v>
      </c>
      <c r="F49" s="5">
        <f t="shared" si="2"/>
        <v>2.5488040343933432E-4</v>
      </c>
    </row>
    <row r="50" spans="1:6" x14ac:dyDescent="0.35">
      <c r="A50" s="8">
        <v>45358</v>
      </c>
      <c r="B50" s="7">
        <v>9.4241271812255242E-4</v>
      </c>
      <c r="D50" s="6" t="str">
        <f t="shared" si="0"/>
        <v>03/07/2024</v>
      </c>
      <c r="E50" s="6" t="str">
        <f t="shared" si="1"/>
        <v>HFRXEMN Index</v>
      </c>
      <c r="F50" s="5">
        <f t="shared" si="2"/>
        <v>9.4241271812255242E-4</v>
      </c>
    </row>
    <row r="51" spans="1:6" x14ac:dyDescent="0.35">
      <c r="A51" s="10">
        <v>45359</v>
      </c>
      <c r="B51" s="9">
        <v>1.3132865197199614E-4</v>
      </c>
      <c r="D51" s="6" t="str">
        <f t="shared" si="0"/>
        <v>03/08/2024</v>
      </c>
      <c r="E51" s="6" t="str">
        <f t="shared" si="1"/>
        <v>HFRXEMN Index</v>
      </c>
      <c r="F51" s="5">
        <f t="shared" si="2"/>
        <v>1.3132865197199614E-4</v>
      </c>
    </row>
    <row r="52" spans="1:6" x14ac:dyDescent="0.35">
      <c r="A52" s="8">
        <v>45362</v>
      </c>
      <c r="B52" s="7">
        <v>-2.5151184883430914E-3</v>
      </c>
      <c r="D52" s="6" t="str">
        <f t="shared" si="0"/>
        <v>03/11/2024</v>
      </c>
      <c r="E52" s="6" t="str">
        <f t="shared" si="1"/>
        <v>HFRXEMN Index</v>
      </c>
      <c r="F52" s="5">
        <f t="shared" si="2"/>
        <v>-2.5151184883430914E-3</v>
      </c>
    </row>
    <row r="53" spans="1:6" x14ac:dyDescent="0.35">
      <c r="A53" s="10">
        <v>45363</v>
      </c>
      <c r="B53" s="9">
        <v>4.2024337660992564E-4</v>
      </c>
      <c r="D53" s="6" t="str">
        <f t="shared" si="0"/>
        <v>03/12/2024</v>
      </c>
      <c r="E53" s="6" t="str">
        <f t="shared" si="1"/>
        <v>HFRXEMN Index</v>
      </c>
      <c r="F53" s="5">
        <f t="shared" si="2"/>
        <v>4.2024337660992564E-4</v>
      </c>
    </row>
    <row r="54" spans="1:6" x14ac:dyDescent="0.35">
      <c r="A54" s="8">
        <v>45364</v>
      </c>
      <c r="B54" s="7">
        <v>1.5729732027718072E-3</v>
      </c>
      <c r="D54" s="6" t="str">
        <f t="shared" si="0"/>
        <v>03/13/2024</v>
      </c>
      <c r="E54" s="6" t="str">
        <f t="shared" si="1"/>
        <v>HFRXEMN Index</v>
      </c>
      <c r="F54" s="5">
        <f t="shared" si="2"/>
        <v>1.5729732027718072E-3</v>
      </c>
    </row>
    <row r="55" spans="1:6" x14ac:dyDescent="0.35">
      <c r="A55" s="10">
        <v>45365</v>
      </c>
      <c r="B55" s="9">
        <v>1.1288620827657784E-3</v>
      </c>
      <c r="D55" s="6" t="str">
        <f t="shared" si="0"/>
        <v>03/14/2024</v>
      </c>
      <c r="E55" s="6" t="str">
        <f t="shared" si="1"/>
        <v>HFRXEMN Index</v>
      </c>
      <c r="F55" s="5">
        <f t="shared" si="2"/>
        <v>1.1288620827657784E-3</v>
      </c>
    </row>
    <row r="56" spans="1:6" x14ac:dyDescent="0.35">
      <c r="A56" s="8">
        <v>45366</v>
      </c>
      <c r="B56" s="7">
        <v>-4.1085837096174082E-4</v>
      </c>
      <c r="D56" s="6" t="str">
        <f t="shared" si="0"/>
        <v>03/15/2024</v>
      </c>
      <c r="E56" s="6" t="str">
        <f t="shared" si="1"/>
        <v>HFRXEMN Index</v>
      </c>
      <c r="F56" s="5">
        <f t="shared" si="2"/>
        <v>-4.1085837096174082E-4</v>
      </c>
    </row>
    <row r="57" spans="1:6" x14ac:dyDescent="0.35">
      <c r="A57" s="10">
        <v>45369</v>
      </c>
      <c r="B57" s="9">
        <v>1.7188412061377358E-3</v>
      </c>
      <c r="D57" s="6" t="str">
        <f t="shared" si="0"/>
        <v>03/18/2024</v>
      </c>
      <c r="E57" s="6" t="str">
        <f t="shared" si="1"/>
        <v>HFRXEMN Index</v>
      </c>
      <c r="F57" s="5">
        <f t="shared" si="2"/>
        <v>1.7188412061377358E-3</v>
      </c>
    </row>
    <row r="58" spans="1:6" x14ac:dyDescent="0.35">
      <c r="A58" s="8">
        <v>45370</v>
      </c>
      <c r="B58" s="7">
        <v>3.034567861406392E-4</v>
      </c>
      <c r="D58" s="6" t="str">
        <f t="shared" si="0"/>
        <v>03/19/2024</v>
      </c>
      <c r="E58" s="6" t="str">
        <f t="shared" si="1"/>
        <v>HFRXEMN Index</v>
      </c>
      <c r="F58" s="5">
        <f t="shared" si="2"/>
        <v>3.034567861406392E-4</v>
      </c>
    </row>
    <row r="59" spans="1:6" x14ac:dyDescent="0.35">
      <c r="A59" s="10">
        <v>45371</v>
      </c>
      <c r="B59" s="9">
        <v>1.8776361739760862E-3</v>
      </c>
      <c r="D59" s="6" t="str">
        <f t="shared" si="0"/>
        <v>03/20/2024</v>
      </c>
      <c r="E59" s="6" t="str">
        <f t="shared" si="1"/>
        <v>HFRXEMN Index</v>
      </c>
      <c r="F59" s="5">
        <f t="shared" si="2"/>
        <v>1.8776361739760862E-3</v>
      </c>
    </row>
    <row r="60" spans="1:6" x14ac:dyDescent="0.35">
      <c r="A60" s="8">
        <v>45372</v>
      </c>
      <c r="B60" s="7">
        <v>1.0079793334058298E-3</v>
      </c>
      <c r="D60" s="6" t="str">
        <f t="shared" si="0"/>
        <v>03/21/2024</v>
      </c>
      <c r="E60" s="6" t="str">
        <f t="shared" si="1"/>
        <v>HFRXEMN Index</v>
      </c>
      <c r="F60" s="5">
        <f t="shared" si="2"/>
        <v>1.0079793334058298E-3</v>
      </c>
    </row>
    <row r="61" spans="1:6" x14ac:dyDescent="0.35">
      <c r="A61" s="10">
        <v>45373</v>
      </c>
      <c r="B61" s="9">
        <v>6.9341855346854086E-4</v>
      </c>
      <c r="D61" s="6" t="str">
        <f t="shared" si="0"/>
        <v>03/22/2024</v>
      </c>
      <c r="E61" s="6" t="str">
        <f t="shared" si="1"/>
        <v>HFRXEMN Index</v>
      </c>
      <c r="F61" s="5">
        <f t="shared" si="2"/>
        <v>6.9341855346854086E-4</v>
      </c>
    </row>
    <row r="62" spans="1:6" x14ac:dyDescent="0.35">
      <c r="A62" s="8">
        <v>45376</v>
      </c>
      <c r="B62" s="7">
        <v>-4.3785651160925873E-4</v>
      </c>
      <c r="D62" s="6" t="str">
        <f t="shared" si="0"/>
        <v>03/25/2024</v>
      </c>
      <c r="E62" s="6" t="str">
        <f t="shared" si="1"/>
        <v>HFRXEMN Index</v>
      </c>
      <c r="F62" s="5">
        <f t="shared" si="2"/>
        <v>-4.3785651160925873E-4</v>
      </c>
    </row>
    <row r="63" spans="1:6" x14ac:dyDescent="0.35">
      <c r="A63" s="10">
        <v>45377</v>
      </c>
      <c r="B63" s="9">
        <v>-3.51644288693613E-5</v>
      </c>
      <c r="D63" s="6" t="str">
        <f t="shared" si="0"/>
        <v>03/26/2024</v>
      </c>
      <c r="E63" s="6" t="str">
        <f t="shared" si="1"/>
        <v>HFRXEMN Index</v>
      </c>
      <c r="F63" s="5">
        <f t="shared" si="2"/>
        <v>-3.51644288693613E-5</v>
      </c>
    </row>
    <row r="64" spans="1:6" x14ac:dyDescent="0.35">
      <c r="A64" s="8">
        <v>45378</v>
      </c>
      <c r="B64" s="7">
        <v>-1.6236490104883964E-3</v>
      </c>
      <c r="D64" s="6" t="str">
        <f t="shared" si="0"/>
        <v>03/27/2024</v>
      </c>
      <c r="E64" s="6" t="str">
        <f t="shared" si="1"/>
        <v>HFRXEMN Index</v>
      </c>
      <c r="F64" s="5">
        <f t="shared" si="2"/>
        <v>-1.6236490104883964E-3</v>
      </c>
    </row>
    <row r="65" spans="1:6" x14ac:dyDescent="0.35">
      <c r="A65" s="10">
        <v>45379</v>
      </c>
      <c r="B65" s="9">
        <v>-2.9486561474449479E-4</v>
      </c>
      <c r="D65" s="6" t="str">
        <f t="shared" si="0"/>
        <v>03/28/2024</v>
      </c>
      <c r="E65" s="6" t="str">
        <f t="shared" si="1"/>
        <v>HFRXEMN Index</v>
      </c>
      <c r="F65" s="5">
        <f t="shared" si="2"/>
        <v>-2.9486561474449479E-4</v>
      </c>
    </row>
    <row r="66" spans="1:6" x14ac:dyDescent="0.35">
      <c r="A66" s="8">
        <v>45384</v>
      </c>
      <c r="B66" s="7">
        <v>2.3455273913306498E-3</v>
      </c>
      <c r="D66" s="6" t="str">
        <f t="shared" si="0"/>
        <v>04/02/2024</v>
      </c>
      <c r="E66" s="6" t="str">
        <f t="shared" si="1"/>
        <v>HFRXEMN Index</v>
      </c>
      <c r="F66" s="5">
        <f t="shared" si="2"/>
        <v>2.3455273913306498E-3</v>
      </c>
    </row>
    <row r="67" spans="1:6" x14ac:dyDescent="0.35">
      <c r="A67" s="10">
        <v>45385</v>
      </c>
      <c r="B67" s="9">
        <v>1.338743208363851E-3</v>
      </c>
      <c r="D67" s="6" t="str">
        <f t="shared" ref="D67:D130" si="3">IF(A67 =  "", "",  TEXT(A67, "mm/dd/yyyy"))</f>
        <v>04/03/2024</v>
      </c>
      <c r="E67" s="6" t="str">
        <f t="shared" ref="E67:E130" si="4">IF(A67="", "", EntityLocal)</f>
        <v>HFRXEMN Index</v>
      </c>
      <c r="F67" s="5">
        <f t="shared" ref="F67:F130" si="5">IF(B67="","", B67)</f>
        <v>1.338743208363851E-3</v>
      </c>
    </row>
    <row r="68" spans="1:6" x14ac:dyDescent="0.35">
      <c r="A68" s="8">
        <v>45386</v>
      </c>
      <c r="B68" s="7">
        <v>-7.8231330042934229E-4</v>
      </c>
      <c r="D68" s="6" t="str">
        <f t="shared" si="3"/>
        <v>04/04/2024</v>
      </c>
      <c r="E68" s="6" t="str">
        <f t="shared" si="4"/>
        <v>HFRXEMN Index</v>
      </c>
      <c r="F68" s="5">
        <f t="shared" si="5"/>
        <v>-7.8231330042934229E-4</v>
      </c>
    </row>
    <row r="69" spans="1:6" x14ac:dyDescent="0.35">
      <c r="A69" s="10">
        <v>45387</v>
      </c>
      <c r="B69" s="9">
        <v>3.1216656645877822E-4</v>
      </c>
      <c r="D69" s="6" t="str">
        <f t="shared" si="3"/>
        <v>04/05/2024</v>
      </c>
      <c r="E69" s="6" t="str">
        <f t="shared" si="4"/>
        <v>HFRXEMN Index</v>
      </c>
      <c r="F69" s="5">
        <f t="shared" si="5"/>
        <v>3.1216656645877822E-4</v>
      </c>
    </row>
    <row r="70" spans="1:6" x14ac:dyDescent="0.35">
      <c r="A70" s="8">
        <v>45390</v>
      </c>
      <c r="B70" s="7">
        <v>5.9804891558479722E-4</v>
      </c>
      <c r="D70" s="6" t="str">
        <f t="shared" si="3"/>
        <v>04/08/2024</v>
      </c>
      <c r="E70" s="6" t="str">
        <f t="shared" si="4"/>
        <v>HFRXEMN Index</v>
      </c>
      <c r="F70" s="5">
        <f t="shared" si="5"/>
        <v>5.9804891558479722E-4</v>
      </c>
    </row>
    <row r="71" spans="1:6" x14ac:dyDescent="0.35">
      <c r="A71" s="10">
        <v>45391</v>
      </c>
      <c r="B71" s="9">
        <v>-2.587322121603383E-4</v>
      </c>
      <c r="D71" s="6" t="str">
        <f t="shared" si="3"/>
        <v>04/09/2024</v>
      </c>
      <c r="E71" s="6" t="str">
        <f t="shared" si="4"/>
        <v>HFRXEMN Index</v>
      </c>
      <c r="F71" s="5">
        <f t="shared" si="5"/>
        <v>-2.587322121603383E-4</v>
      </c>
    </row>
    <row r="72" spans="1:6" x14ac:dyDescent="0.35">
      <c r="A72" s="8">
        <v>45392</v>
      </c>
      <c r="B72" s="7">
        <v>3.28012903847078E-4</v>
      </c>
      <c r="D72" s="6" t="str">
        <f t="shared" si="3"/>
        <v>04/10/2024</v>
      </c>
      <c r="E72" s="6" t="str">
        <f t="shared" si="4"/>
        <v>HFRXEMN Index</v>
      </c>
      <c r="F72" s="5">
        <f t="shared" si="5"/>
        <v>3.28012903847078E-4</v>
      </c>
    </row>
    <row r="73" spans="1:6" x14ac:dyDescent="0.35">
      <c r="A73" s="10">
        <v>45393</v>
      </c>
      <c r="B73" s="9">
        <v>1.2213722086680935E-3</v>
      </c>
      <c r="D73" s="6" t="str">
        <f t="shared" si="3"/>
        <v>04/11/2024</v>
      </c>
      <c r="E73" s="6" t="str">
        <f t="shared" si="4"/>
        <v>HFRXEMN Index</v>
      </c>
      <c r="F73" s="5">
        <f t="shared" si="5"/>
        <v>1.2213722086680935E-3</v>
      </c>
    </row>
    <row r="74" spans="1:6" x14ac:dyDescent="0.35">
      <c r="A74" s="8">
        <v>45394</v>
      </c>
      <c r="B74" s="7">
        <v>7.8521158147020029E-4</v>
      </c>
      <c r="D74" s="6" t="str">
        <f t="shared" si="3"/>
        <v>04/12/2024</v>
      </c>
      <c r="E74" s="6" t="str">
        <f t="shared" si="4"/>
        <v>HFRXEMN Index</v>
      </c>
      <c r="F74" s="5">
        <f t="shared" si="5"/>
        <v>7.8521158147020029E-4</v>
      </c>
    </row>
    <row r="75" spans="1:6" x14ac:dyDescent="0.35">
      <c r="A75" s="10">
        <v>45397</v>
      </c>
      <c r="B75" s="9">
        <v>-8.5364791877029847E-4</v>
      </c>
      <c r="D75" s="6" t="str">
        <f t="shared" si="3"/>
        <v>04/15/2024</v>
      </c>
      <c r="E75" s="6" t="str">
        <f t="shared" si="4"/>
        <v>HFRXEMN Index</v>
      </c>
      <c r="F75" s="5">
        <f t="shared" si="5"/>
        <v>-8.5364791877029847E-4</v>
      </c>
    </row>
    <row r="76" spans="1:6" x14ac:dyDescent="0.35">
      <c r="A76" s="8">
        <v>45398</v>
      </c>
      <c r="B76" s="7">
        <v>3.0248761002738504E-4</v>
      </c>
      <c r="D76" s="6" t="str">
        <f t="shared" si="3"/>
        <v>04/16/2024</v>
      </c>
      <c r="E76" s="6" t="str">
        <f t="shared" si="4"/>
        <v>HFRXEMN Index</v>
      </c>
      <c r="F76" s="5">
        <f t="shared" si="5"/>
        <v>3.0248761002738504E-4</v>
      </c>
    </row>
    <row r="77" spans="1:6" x14ac:dyDescent="0.35">
      <c r="A77" s="10">
        <v>45399</v>
      </c>
      <c r="B77" s="9">
        <v>-5.1467422323244448E-4</v>
      </c>
      <c r="D77" s="6" t="str">
        <f t="shared" si="3"/>
        <v>04/17/2024</v>
      </c>
      <c r="E77" s="6" t="str">
        <f t="shared" si="4"/>
        <v>HFRXEMN Index</v>
      </c>
      <c r="F77" s="5">
        <f t="shared" si="5"/>
        <v>-5.1467422323244448E-4</v>
      </c>
    </row>
    <row r="78" spans="1:6" x14ac:dyDescent="0.35">
      <c r="A78" s="8">
        <v>45400</v>
      </c>
      <c r="B78" s="7">
        <v>3.4362677523799498E-4</v>
      </c>
      <c r="D78" s="6" t="str">
        <f t="shared" si="3"/>
        <v>04/18/2024</v>
      </c>
      <c r="E78" s="6" t="str">
        <f t="shared" si="4"/>
        <v>HFRXEMN Index</v>
      </c>
      <c r="F78" s="5">
        <f t="shared" si="5"/>
        <v>3.4362677523799498E-4</v>
      </c>
    </row>
    <row r="79" spans="1:6" x14ac:dyDescent="0.35">
      <c r="A79" s="10">
        <v>45401</v>
      </c>
      <c r="B79" s="9">
        <v>-3.2337892418672471E-3</v>
      </c>
      <c r="D79" s="6" t="str">
        <f t="shared" si="3"/>
        <v>04/19/2024</v>
      </c>
      <c r="E79" s="6" t="str">
        <f t="shared" si="4"/>
        <v>HFRXEMN Index</v>
      </c>
      <c r="F79" s="5">
        <f t="shared" si="5"/>
        <v>-3.2337892418672471E-3</v>
      </c>
    </row>
    <row r="80" spans="1:6" x14ac:dyDescent="0.35">
      <c r="A80" s="8">
        <v>45404</v>
      </c>
      <c r="B80" s="7">
        <v>-9.3641049342404364E-4</v>
      </c>
      <c r="D80" s="6" t="str">
        <f t="shared" si="3"/>
        <v>04/22/2024</v>
      </c>
      <c r="E80" s="6" t="str">
        <f t="shared" si="4"/>
        <v>HFRXEMN Index</v>
      </c>
      <c r="F80" s="5">
        <f t="shared" si="5"/>
        <v>-9.3641049342404364E-4</v>
      </c>
    </row>
    <row r="81" spans="1:6" x14ac:dyDescent="0.35">
      <c r="A81" s="10">
        <v>45405</v>
      </c>
      <c r="B81" s="9">
        <v>5.5814907709302248E-4</v>
      </c>
      <c r="D81" s="6" t="str">
        <f t="shared" si="3"/>
        <v>04/23/2024</v>
      </c>
      <c r="E81" s="6" t="str">
        <f t="shared" si="4"/>
        <v>HFRXEMN Index</v>
      </c>
      <c r="F81" s="5">
        <f t="shared" si="5"/>
        <v>5.5814907709302248E-4</v>
      </c>
    </row>
    <row r="82" spans="1:6" x14ac:dyDescent="0.35">
      <c r="A82" s="8">
        <v>45406</v>
      </c>
      <c r="B82" s="7">
        <v>-7.6790633954929727E-4</v>
      </c>
      <c r="D82" s="6" t="str">
        <f t="shared" si="3"/>
        <v>04/24/2024</v>
      </c>
      <c r="E82" s="6" t="str">
        <f t="shared" si="4"/>
        <v>HFRXEMN Index</v>
      </c>
      <c r="F82" s="5">
        <f t="shared" si="5"/>
        <v>-7.6790633954929727E-4</v>
      </c>
    </row>
    <row r="83" spans="1:6" x14ac:dyDescent="0.35">
      <c r="A83" s="10">
        <v>45407</v>
      </c>
      <c r="B83" s="9">
        <v>-2.329630669044611E-3</v>
      </c>
      <c r="D83" s="6" t="str">
        <f t="shared" si="3"/>
        <v>04/25/2024</v>
      </c>
      <c r="E83" s="6" t="str">
        <f t="shared" si="4"/>
        <v>HFRXEMN Index</v>
      </c>
      <c r="F83" s="5">
        <f t="shared" si="5"/>
        <v>-2.329630669044611E-3</v>
      </c>
    </row>
    <row r="84" spans="1:6" x14ac:dyDescent="0.35">
      <c r="A84" s="8">
        <v>45408</v>
      </c>
      <c r="B84" s="7">
        <v>8.5296617474918033E-4</v>
      </c>
      <c r="D84" s="6" t="str">
        <f t="shared" si="3"/>
        <v>04/26/2024</v>
      </c>
      <c r="E84" s="6" t="str">
        <f t="shared" si="4"/>
        <v>HFRXEMN Index</v>
      </c>
      <c r="F84" s="5">
        <f t="shared" si="5"/>
        <v>8.5296617474918033E-4</v>
      </c>
    </row>
    <row r="85" spans="1:6" x14ac:dyDescent="0.35">
      <c r="A85" s="10">
        <v>45411</v>
      </c>
      <c r="B85" s="9">
        <v>-6.5378637001487991E-4</v>
      </c>
      <c r="D85" s="6" t="str">
        <f t="shared" si="3"/>
        <v>04/29/2024</v>
      </c>
      <c r="E85" s="6" t="str">
        <f t="shared" si="4"/>
        <v>HFRXEMN Index</v>
      </c>
      <c r="F85" s="5">
        <f t="shared" si="5"/>
        <v>-6.5378637001487991E-4</v>
      </c>
    </row>
    <row r="86" spans="1:6" x14ac:dyDescent="0.35">
      <c r="A86" s="8">
        <v>45412</v>
      </c>
      <c r="B86" s="7">
        <v>6.6530246061138196E-5</v>
      </c>
      <c r="D86" s="6" t="str">
        <f t="shared" si="3"/>
        <v>04/30/2024</v>
      </c>
      <c r="E86" s="6" t="str">
        <f t="shared" si="4"/>
        <v>HFRXEMN Index</v>
      </c>
      <c r="F86" s="5">
        <f t="shared" si="5"/>
        <v>6.6530246061138196E-5</v>
      </c>
    </row>
    <row r="87" spans="1:6" x14ac:dyDescent="0.35">
      <c r="A87" s="10">
        <v>45414</v>
      </c>
      <c r="B87" s="9">
        <v>3.666983840273556E-3</v>
      </c>
      <c r="D87" s="6" t="str">
        <f t="shared" si="3"/>
        <v>05/02/2024</v>
      </c>
      <c r="E87" s="6" t="str">
        <f t="shared" si="4"/>
        <v>HFRXEMN Index</v>
      </c>
      <c r="F87" s="5">
        <f t="shared" si="5"/>
        <v>3.666983840273556E-3</v>
      </c>
    </row>
    <row r="88" spans="1:6" x14ac:dyDescent="0.35">
      <c r="A88" s="8">
        <v>45415</v>
      </c>
      <c r="B88" s="7">
        <v>-5.3026209811055959E-4</v>
      </c>
      <c r="D88" s="6" t="str">
        <f t="shared" si="3"/>
        <v>05/03/2024</v>
      </c>
      <c r="E88" s="6" t="str">
        <f t="shared" si="4"/>
        <v>HFRXEMN Index</v>
      </c>
      <c r="F88" s="5">
        <f t="shared" si="5"/>
        <v>-5.3026209811055959E-4</v>
      </c>
    </row>
    <row r="89" spans="1:6" x14ac:dyDescent="0.35">
      <c r="A89" s="10">
        <v>45418</v>
      </c>
      <c r="B89" s="9">
        <v>8.1490666254025346E-4</v>
      </c>
      <c r="D89" s="6" t="str">
        <f t="shared" si="3"/>
        <v>05/06/2024</v>
      </c>
      <c r="E89" s="6" t="str">
        <f t="shared" si="4"/>
        <v>HFRXEMN Index</v>
      </c>
      <c r="F89" s="5">
        <f t="shared" si="5"/>
        <v>8.1490666254025346E-4</v>
      </c>
    </row>
    <row r="90" spans="1:6" x14ac:dyDescent="0.35">
      <c r="A90" s="8">
        <v>45419</v>
      </c>
      <c r="B90" s="7">
        <v>8.7046707034113048E-4</v>
      </c>
      <c r="D90" s="6" t="str">
        <f t="shared" si="3"/>
        <v>05/07/2024</v>
      </c>
      <c r="E90" s="6" t="str">
        <f t="shared" si="4"/>
        <v>HFRXEMN Index</v>
      </c>
      <c r="F90" s="5">
        <f t="shared" si="5"/>
        <v>8.7046707034113048E-4</v>
      </c>
    </row>
    <row r="91" spans="1:6" x14ac:dyDescent="0.35">
      <c r="A91" s="10">
        <v>45420</v>
      </c>
      <c r="B91" s="9">
        <v>-7.8544745426751303E-4</v>
      </c>
      <c r="D91" s="6" t="str">
        <f t="shared" si="3"/>
        <v>05/08/2024</v>
      </c>
      <c r="E91" s="6" t="str">
        <f t="shared" si="4"/>
        <v>HFRXEMN Index</v>
      </c>
      <c r="F91" s="5">
        <f t="shared" si="5"/>
        <v>-7.8544745426751303E-4</v>
      </c>
    </row>
    <row r="92" spans="1:6" x14ac:dyDescent="0.35">
      <c r="A92" s="8">
        <v>45421</v>
      </c>
      <c r="B92" s="7">
        <v>-7.5293569627979493E-4</v>
      </c>
      <c r="D92" s="6" t="str">
        <f t="shared" si="3"/>
        <v>05/09/2024</v>
      </c>
      <c r="E92" s="6" t="str">
        <f t="shared" si="4"/>
        <v>HFRXEMN Index</v>
      </c>
      <c r="F92" s="5">
        <f t="shared" si="5"/>
        <v>-7.5293569627979493E-4</v>
      </c>
    </row>
    <row r="93" spans="1:6" x14ac:dyDescent="0.35">
      <c r="A93" s="10">
        <v>45422</v>
      </c>
      <c r="B93" s="9">
        <v>-2.5920504425075999E-4</v>
      </c>
      <c r="D93" s="6" t="str">
        <f t="shared" si="3"/>
        <v>05/10/2024</v>
      </c>
      <c r="E93" s="6" t="str">
        <f t="shared" si="4"/>
        <v>HFRXEMN Index</v>
      </c>
      <c r="F93" s="5">
        <f t="shared" si="5"/>
        <v>-2.5920504425075999E-4</v>
      </c>
    </row>
    <row r="94" spans="1:6" x14ac:dyDescent="0.35">
      <c r="A94" s="8">
        <v>45425</v>
      </c>
      <c r="B94" s="7">
        <v>-5.8386502568103416E-4</v>
      </c>
      <c r="D94" s="6" t="str">
        <f t="shared" si="3"/>
        <v>05/13/2024</v>
      </c>
      <c r="E94" s="6" t="str">
        <f t="shared" si="4"/>
        <v>HFRXEMN Index</v>
      </c>
      <c r="F94" s="5">
        <f t="shared" si="5"/>
        <v>-5.8386502568103416E-4</v>
      </c>
    </row>
    <row r="95" spans="1:6" x14ac:dyDescent="0.35">
      <c r="A95" s="10">
        <v>45426</v>
      </c>
      <c r="B95" s="9">
        <v>-3.1673825956845262E-4</v>
      </c>
      <c r="D95" s="6" t="str">
        <f t="shared" si="3"/>
        <v>05/14/2024</v>
      </c>
      <c r="E95" s="6" t="str">
        <f t="shared" si="4"/>
        <v>HFRXEMN Index</v>
      </c>
      <c r="F95" s="5">
        <f t="shared" si="5"/>
        <v>-3.1673825956845262E-4</v>
      </c>
    </row>
    <row r="96" spans="1:6" x14ac:dyDescent="0.35">
      <c r="A96" s="8">
        <v>45427</v>
      </c>
      <c r="B96" s="7">
        <v>1.4091774567816576E-3</v>
      </c>
      <c r="D96" s="6" t="str">
        <f t="shared" si="3"/>
        <v>05/15/2024</v>
      </c>
      <c r="E96" s="6" t="str">
        <f t="shared" si="4"/>
        <v>HFRXEMN Index</v>
      </c>
      <c r="F96" s="5">
        <f t="shared" si="5"/>
        <v>1.4091774567816576E-3</v>
      </c>
    </row>
    <row r="97" spans="1:6" x14ac:dyDescent="0.35">
      <c r="A97" s="10">
        <v>45428</v>
      </c>
      <c r="B97" s="9">
        <v>-2.0088429265152262E-6</v>
      </c>
      <c r="D97" s="6" t="str">
        <f t="shared" si="3"/>
        <v>05/16/2024</v>
      </c>
      <c r="E97" s="6" t="str">
        <f t="shared" si="4"/>
        <v>HFRXEMN Index</v>
      </c>
      <c r="F97" s="5">
        <f t="shared" si="5"/>
        <v>-2.0088429265152262E-6</v>
      </c>
    </row>
    <row r="98" spans="1:6" x14ac:dyDescent="0.35">
      <c r="A98" s="8">
        <v>45429</v>
      </c>
      <c r="B98" s="7">
        <v>-3.053447382271259E-4</v>
      </c>
      <c r="D98" s="6" t="str">
        <f t="shared" si="3"/>
        <v>05/17/2024</v>
      </c>
      <c r="E98" s="6" t="str">
        <f t="shared" si="4"/>
        <v>HFRXEMN Index</v>
      </c>
      <c r="F98" s="5">
        <f t="shared" si="5"/>
        <v>-3.053447382271259E-4</v>
      </c>
    </row>
    <row r="99" spans="1:6" x14ac:dyDescent="0.35">
      <c r="A99" s="10">
        <v>45432</v>
      </c>
      <c r="B99" s="9">
        <v>-3.7175019994167098E-5</v>
      </c>
      <c r="D99" s="6" t="str">
        <f t="shared" si="3"/>
        <v>05/20/2024</v>
      </c>
      <c r="E99" s="6" t="str">
        <f t="shared" si="4"/>
        <v>HFRXEMN Index</v>
      </c>
      <c r="F99" s="5">
        <f t="shared" si="5"/>
        <v>-3.7175019994167098E-5</v>
      </c>
    </row>
    <row r="100" spans="1:6" x14ac:dyDescent="0.35">
      <c r="A100" s="8">
        <v>45433</v>
      </c>
      <c r="B100" s="7">
        <v>-2.2074744663427995E-3</v>
      </c>
      <c r="D100" s="6" t="str">
        <f t="shared" si="3"/>
        <v>05/21/2024</v>
      </c>
      <c r="E100" s="6" t="str">
        <f t="shared" si="4"/>
        <v>HFRXEMN Index</v>
      </c>
      <c r="F100" s="5">
        <f t="shared" si="5"/>
        <v>-2.2074744663427995E-3</v>
      </c>
    </row>
    <row r="101" spans="1:6" x14ac:dyDescent="0.35">
      <c r="A101" s="10">
        <v>45434</v>
      </c>
      <c r="B101" s="9">
        <v>-1.526597640822553E-3</v>
      </c>
      <c r="D101" s="6" t="str">
        <f t="shared" si="3"/>
        <v>05/22/2024</v>
      </c>
      <c r="E101" s="6" t="str">
        <f t="shared" si="4"/>
        <v>HFRXEMN Index</v>
      </c>
      <c r="F101" s="5">
        <f t="shared" si="5"/>
        <v>-1.526597640822553E-3</v>
      </c>
    </row>
    <row r="102" spans="1:6" x14ac:dyDescent="0.35">
      <c r="A102" s="8">
        <v>45435</v>
      </c>
      <c r="B102" s="7">
        <v>1.8556954723044416E-4</v>
      </c>
      <c r="D102" s="6" t="str">
        <f t="shared" si="3"/>
        <v>05/23/2024</v>
      </c>
      <c r="E102" s="6" t="str">
        <f t="shared" si="4"/>
        <v>HFRXEMN Index</v>
      </c>
      <c r="F102" s="5">
        <f t="shared" si="5"/>
        <v>1.8556954723044416E-4</v>
      </c>
    </row>
    <row r="103" spans="1:6" x14ac:dyDescent="0.35">
      <c r="A103" s="10">
        <v>45436</v>
      </c>
      <c r="B103" s="9">
        <v>-1.0688436120460141E-4</v>
      </c>
      <c r="D103" s="6" t="str">
        <f t="shared" si="3"/>
        <v>05/24/2024</v>
      </c>
      <c r="E103" s="6" t="str">
        <f t="shared" si="4"/>
        <v>HFRXEMN Index</v>
      </c>
      <c r="F103" s="5">
        <f t="shared" si="5"/>
        <v>-1.0688436120460141E-4</v>
      </c>
    </row>
    <row r="104" spans="1:6" x14ac:dyDescent="0.35">
      <c r="A104" s="8">
        <v>45439</v>
      </c>
      <c r="B104" s="7">
        <v>1.2656057764062801E-3</v>
      </c>
      <c r="D104" s="6" t="str">
        <f t="shared" si="3"/>
        <v>05/27/2024</v>
      </c>
      <c r="E104" s="6" t="str">
        <f t="shared" si="4"/>
        <v>HFRXEMN Index</v>
      </c>
      <c r="F104" s="5">
        <f t="shared" si="5"/>
        <v>1.2656057764062801E-3</v>
      </c>
    </row>
    <row r="105" spans="1:6" x14ac:dyDescent="0.35">
      <c r="A105" s="10">
        <v>45440</v>
      </c>
      <c r="B105" s="9">
        <v>1.1089009190482176E-3</v>
      </c>
      <c r="D105" s="6" t="str">
        <f t="shared" si="3"/>
        <v>05/28/2024</v>
      </c>
      <c r="E105" s="6" t="str">
        <f t="shared" si="4"/>
        <v>HFRXEMN Index</v>
      </c>
      <c r="F105" s="5">
        <f t="shared" si="5"/>
        <v>1.1089009190482176E-3</v>
      </c>
    </row>
    <row r="106" spans="1:6" x14ac:dyDescent="0.35">
      <c r="A106" s="8">
        <v>45441</v>
      </c>
      <c r="B106" s="7">
        <v>1.0422786868092837E-3</v>
      </c>
      <c r="D106" s="6" t="str">
        <f t="shared" si="3"/>
        <v>05/29/2024</v>
      </c>
      <c r="E106" s="6" t="str">
        <f t="shared" si="4"/>
        <v>HFRXEMN Index</v>
      </c>
      <c r="F106" s="5">
        <f t="shared" si="5"/>
        <v>1.0422786868092837E-3</v>
      </c>
    </row>
    <row r="107" spans="1:6" x14ac:dyDescent="0.35">
      <c r="A107" s="10">
        <v>45442</v>
      </c>
      <c r="B107" s="9">
        <v>-2.1778631815494854E-3</v>
      </c>
      <c r="D107" s="6" t="str">
        <f t="shared" si="3"/>
        <v>05/30/2024</v>
      </c>
      <c r="E107" s="6" t="str">
        <f t="shared" si="4"/>
        <v>HFRXEMN Index</v>
      </c>
      <c r="F107" s="5">
        <f t="shared" si="5"/>
        <v>-2.1778631815494854E-3</v>
      </c>
    </row>
    <row r="108" spans="1:6" x14ac:dyDescent="0.35">
      <c r="A108" s="8">
        <v>45443</v>
      </c>
      <c r="B108" s="7">
        <v>-6.9900135469290134E-4</v>
      </c>
      <c r="D108" s="6" t="str">
        <f t="shared" si="3"/>
        <v>05/31/2024</v>
      </c>
      <c r="E108" s="6" t="str">
        <f t="shared" si="4"/>
        <v>HFRXEMN Index</v>
      </c>
      <c r="F108" s="5">
        <f t="shared" si="5"/>
        <v>-6.9900135469290134E-4</v>
      </c>
    </row>
    <row r="109" spans="1:6" x14ac:dyDescent="0.35">
      <c r="A109" s="10">
        <v>45446</v>
      </c>
      <c r="B109" s="9">
        <v>-6.7933207747608809E-4</v>
      </c>
      <c r="D109" s="6" t="str">
        <f t="shared" si="3"/>
        <v>06/03/2024</v>
      </c>
      <c r="E109" s="6" t="str">
        <f t="shared" si="4"/>
        <v>HFRXEMN Index</v>
      </c>
      <c r="F109" s="5">
        <f t="shared" si="5"/>
        <v>-6.7933207747608809E-4</v>
      </c>
    </row>
    <row r="110" spans="1:6" x14ac:dyDescent="0.35">
      <c r="A110" s="8">
        <v>45447</v>
      </c>
      <c r="B110" s="7">
        <v>9.0067646551561878E-4</v>
      </c>
      <c r="D110" s="6" t="str">
        <f t="shared" si="3"/>
        <v>06/04/2024</v>
      </c>
      <c r="E110" s="6" t="str">
        <f t="shared" si="4"/>
        <v>HFRXEMN Index</v>
      </c>
      <c r="F110" s="5">
        <f t="shared" si="5"/>
        <v>9.0067646551561878E-4</v>
      </c>
    </row>
    <row r="111" spans="1:6" x14ac:dyDescent="0.35">
      <c r="A111" s="10">
        <v>45448</v>
      </c>
      <c r="B111" s="9">
        <v>2.091961667523224E-3</v>
      </c>
      <c r="D111" s="6" t="str">
        <f t="shared" si="3"/>
        <v>06/05/2024</v>
      </c>
      <c r="E111" s="6" t="str">
        <f t="shared" si="4"/>
        <v>HFRXEMN Index</v>
      </c>
      <c r="F111" s="5">
        <f t="shared" si="5"/>
        <v>2.091961667523224E-3</v>
      </c>
    </row>
    <row r="112" spans="1:6" x14ac:dyDescent="0.35">
      <c r="A112" s="8">
        <v>45449</v>
      </c>
      <c r="B112" s="7">
        <v>2.1610022062535329E-3</v>
      </c>
      <c r="D112" s="6" t="str">
        <f t="shared" si="3"/>
        <v>06/06/2024</v>
      </c>
      <c r="E112" s="6" t="str">
        <f t="shared" si="4"/>
        <v>HFRXEMN Index</v>
      </c>
      <c r="F112" s="5">
        <f t="shared" si="5"/>
        <v>2.1610022062535329E-3</v>
      </c>
    </row>
    <row r="113" spans="1:6" x14ac:dyDescent="0.35">
      <c r="A113" s="10">
        <v>45450</v>
      </c>
      <c r="B113" s="9">
        <v>3.8631540395044214E-4</v>
      </c>
      <c r="D113" s="6" t="str">
        <f t="shared" si="3"/>
        <v>06/07/2024</v>
      </c>
      <c r="E113" s="6" t="str">
        <f t="shared" si="4"/>
        <v>HFRXEMN Index</v>
      </c>
      <c r="F113" s="5">
        <f t="shared" si="5"/>
        <v>3.8631540395044214E-4</v>
      </c>
    </row>
    <row r="114" spans="1:6" x14ac:dyDescent="0.35">
      <c r="A114" s="8">
        <v>45453</v>
      </c>
      <c r="B114" s="7">
        <v>8.3050813456636498E-4</v>
      </c>
      <c r="D114" s="6" t="str">
        <f t="shared" si="3"/>
        <v>06/10/2024</v>
      </c>
      <c r="E114" s="6" t="str">
        <f t="shared" si="4"/>
        <v>HFRXEMN Index</v>
      </c>
      <c r="F114" s="5">
        <f t="shared" si="5"/>
        <v>8.3050813456636498E-4</v>
      </c>
    </row>
    <row r="115" spans="1:6" x14ac:dyDescent="0.35">
      <c r="A115" s="10">
        <v>45454</v>
      </c>
      <c r="B115" s="9">
        <v>2.8161730513291412E-4</v>
      </c>
      <c r="D115" s="6" t="str">
        <f t="shared" si="3"/>
        <v>06/11/2024</v>
      </c>
      <c r="E115" s="6" t="str">
        <f t="shared" si="4"/>
        <v>HFRXEMN Index</v>
      </c>
      <c r="F115" s="5">
        <f t="shared" si="5"/>
        <v>2.8161730513291412E-4</v>
      </c>
    </row>
    <row r="116" spans="1:6" x14ac:dyDescent="0.35">
      <c r="A116" s="8">
        <v>45455</v>
      </c>
      <c r="B116" s="7">
        <v>3.4876649276767845E-3</v>
      </c>
      <c r="D116" s="6" t="str">
        <f t="shared" si="3"/>
        <v>06/12/2024</v>
      </c>
      <c r="E116" s="6" t="str">
        <f t="shared" si="4"/>
        <v>HFRXEMN Index</v>
      </c>
      <c r="F116" s="5">
        <f t="shared" si="5"/>
        <v>3.4876649276767845E-3</v>
      </c>
    </row>
    <row r="117" spans="1:6" x14ac:dyDescent="0.35">
      <c r="A117" s="10">
        <v>45456</v>
      </c>
      <c r="B117" s="9">
        <v>-7.8876164421865403E-4</v>
      </c>
      <c r="D117" s="6" t="str">
        <f t="shared" si="3"/>
        <v>06/13/2024</v>
      </c>
      <c r="E117" s="6" t="str">
        <f t="shared" si="4"/>
        <v>HFRXEMN Index</v>
      </c>
      <c r="F117" s="5">
        <f t="shared" si="5"/>
        <v>-7.8876164421865403E-4</v>
      </c>
    </row>
    <row r="118" spans="1:6" x14ac:dyDescent="0.35">
      <c r="A118" s="8">
        <v>45457</v>
      </c>
      <c r="B118" s="7">
        <v>8.9130478226988222E-4</v>
      </c>
      <c r="D118" s="6" t="str">
        <f t="shared" si="3"/>
        <v>06/14/2024</v>
      </c>
      <c r="E118" s="6" t="str">
        <f t="shared" si="4"/>
        <v>HFRXEMN Index</v>
      </c>
      <c r="F118" s="5">
        <f t="shared" si="5"/>
        <v>8.9130478226988222E-4</v>
      </c>
    </row>
    <row r="119" spans="1:6" x14ac:dyDescent="0.35">
      <c r="A119" s="10">
        <v>45460</v>
      </c>
      <c r="B119" s="9">
        <v>-2.9550591411165442E-4</v>
      </c>
      <c r="D119" s="6" t="str">
        <f t="shared" si="3"/>
        <v>06/17/2024</v>
      </c>
      <c r="E119" s="6" t="str">
        <f t="shared" si="4"/>
        <v>HFRXEMN Index</v>
      </c>
      <c r="F119" s="5">
        <f t="shared" si="5"/>
        <v>-2.9550591411165442E-4</v>
      </c>
    </row>
    <row r="120" spans="1:6" x14ac:dyDescent="0.35">
      <c r="A120" s="8">
        <v>45461</v>
      </c>
      <c r="B120" s="7">
        <v>6.1914805228006724E-4</v>
      </c>
      <c r="D120" s="6" t="str">
        <f t="shared" si="3"/>
        <v>06/18/2024</v>
      </c>
      <c r="E120" s="6" t="str">
        <f t="shared" si="4"/>
        <v>HFRXEMN Index</v>
      </c>
      <c r="F120" s="5">
        <f t="shared" si="5"/>
        <v>6.1914805228006724E-4</v>
      </c>
    </row>
    <row r="121" spans="1:6" x14ac:dyDescent="0.35">
      <c r="A121" s="10">
        <v>45462</v>
      </c>
      <c r="B121" s="9">
        <v>8.6826693918926929E-5</v>
      </c>
      <c r="D121" s="6" t="str">
        <f t="shared" si="3"/>
        <v>06/19/2024</v>
      </c>
      <c r="E121" s="6" t="str">
        <f t="shared" si="4"/>
        <v>HFRXEMN Index</v>
      </c>
      <c r="F121" s="5">
        <f t="shared" si="5"/>
        <v>8.6826693918926929E-5</v>
      </c>
    </row>
    <row r="122" spans="1:6" x14ac:dyDescent="0.35">
      <c r="A122" s="8">
        <v>45463</v>
      </c>
      <c r="B122" s="7">
        <v>5.0195442892459288E-4</v>
      </c>
      <c r="D122" s="6" t="str">
        <f t="shared" si="3"/>
        <v>06/20/2024</v>
      </c>
      <c r="E122" s="6" t="str">
        <f t="shared" si="4"/>
        <v>HFRXEMN Index</v>
      </c>
      <c r="F122" s="5">
        <f t="shared" si="5"/>
        <v>5.0195442892459288E-4</v>
      </c>
    </row>
    <row r="123" spans="1:6" x14ac:dyDescent="0.35">
      <c r="A123" s="10">
        <v>45464</v>
      </c>
      <c r="B123" s="9">
        <v>-8.1788494952047633E-5</v>
      </c>
      <c r="D123" s="6" t="str">
        <f t="shared" si="3"/>
        <v>06/21/2024</v>
      </c>
      <c r="E123" s="6" t="str">
        <f t="shared" si="4"/>
        <v>HFRXEMN Index</v>
      </c>
      <c r="F123" s="5">
        <f t="shared" si="5"/>
        <v>-8.1788494952047633E-5</v>
      </c>
    </row>
    <row r="124" spans="1:6" x14ac:dyDescent="0.35">
      <c r="A124" s="8">
        <v>45467</v>
      </c>
      <c r="B124" s="7">
        <v>-4.9775362492321591E-4</v>
      </c>
      <c r="D124" s="6" t="str">
        <f t="shared" si="3"/>
        <v>06/24/2024</v>
      </c>
      <c r="E124" s="6" t="str">
        <f t="shared" si="4"/>
        <v>HFRXEMN Index</v>
      </c>
      <c r="F124" s="5">
        <f t="shared" si="5"/>
        <v>-4.9775362492321591E-4</v>
      </c>
    </row>
    <row r="125" spans="1:6" x14ac:dyDescent="0.35">
      <c r="A125" s="10">
        <v>45468</v>
      </c>
      <c r="B125" s="9">
        <v>2.2794297433645461E-3</v>
      </c>
      <c r="D125" s="6" t="str">
        <f t="shared" si="3"/>
        <v>06/25/2024</v>
      </c>
      <c r="E125" s="6" t="str">
        <f t="shared" si="4"/>
        <v>HFRXEMN Index</v>
      </c>
      <c r="F125" s="5">
        <f t="shared" si="5"/>
        <v>2.2794297433645461E-3</v>
      </c>
    </row>
    <row r="126" spans="1:6" x14ac:dyDescent="0.35">
      <c r="A126" s="8">
        <v>45469</v>
      </c>
      <c r="B126" s="7">
        <v>8.6927169370574337E-4</v>
      </c>
      <c r="D126" s="6" t="str">
        <f t="shared" si="3"/>
        <v>06/26/2024</v>
      </c>
      <c r="E126" s="6" t="str">
        <f t="shared" si="4"/>
        <v>HFRXEMN Index</v>
      </c>
      <c r="F126" s="5">
        <f t="shared" si="5"/>
        <v>8.6927169370574337E-4</v>
      </c>
    </row>
    <row r="127" spans="1:6" x14ac:dyDescent="0.35">
      <c r="A127" s="10">
        <v>45470</v>
      </c>
      <c r="B127" s="9">
        <v>9.3815723236650777E-4</v>
      </c>
      <c r="D127" s="6" t="str">
        <f t="shared" si="3"/>
        <v>06/27/2024</v>
      </c>
      <c r="E127" s="6" t="str">
        <f t="shared" si="4"/>
        <v>HFRXEMN Index</v>
      </c>
      <c r="F127" s="5">
        <f t="shared" si="5"/>
        <v>9.3815723236650777E-4</v>
      </c>
    </row>
    <row r="128" spans="1:6" x14ac:dyDescent="0.35">
      <c r="A128" s="8">
        <v>45471</v>
      </c>
      <c r="B128" s="7">
        <v>-2.2065291396025267E-4</v>
      </c>
      <c r="D128" s="6" t="str">
        <f t="shared" si="3"/>
        <v>06/28/2024</v>
      </c>
      <c r="E128" s="6" t="str">
        <f t="shared" si="4"/>
        <v>HFRXEMN Index</v>
      </c>
      <c r="F128" s="5">
        <f t="shared" si="5"/>
        <v>-2.2065291396025267E-4</v>
      </c>
    </row>
    <row r="129" spans="1:6" x14ac:dyDescent="0.35">
      <c r="A129" s="10">
        <v>45474</v>
      </c>
      <c r="B129" s="9">
        <v>3.7807578018517036E-3</v>
      </c>
      <c r="D129" s="6" t="str">
        <f t="shared" si="3"/>
        <v>07/01/2024</v>
      </c>
      <c r="E129" s="6" t="str">
        <f t="shared" si="4"/>
        <v>HFRXEMN Index</v>
      </c>
      <c r="F129" s="5">
        <f t="shared" si="5"/>
        <v>3.7807578018517036E-3</v>
      </c>
    </row>
    <row r="130" spans="1:6" x14ac:dyDescent="0.35">
      <c r="A130" s="8">
        <v>45475</v>
      </c>
      <c r="B130" s="7">
        <v>5.3779095679251405E-4</v>
      </c>
      <c r="D130" s="6" t="str">
        <f t="shared" si="3"/>
        <v>07/02/2024</v>
      </c>
      <c r="E130" s="6" t="str">
        <f t="shared" si="4"/>
        <v>HFRXEMN Index</v>
      </c>
      <c r="F130" s="5">
        <f t="shared" si="5"/>
        <v>5.3779095679251405E-4</v>
      </c>
    </row>
    <row r="131" spans="1:6" x14ac:dyDescent="0.35">
      <c r="A131" s="10">
        <v>45476</v>
      </c>
      <c r="B131" s="9">
        <v>-2.3262052465333467E-4</v>
      </c>
      <c r="D131" s="6" t="str">
        <f t="shared" ref="D131:D194" si="6">IF(A131 =  "", "",  TEXT(A131, "mm/dd/yyyy"))</f>
        <v>07/03/2024</v>
      </c>
      <c r="E131" s="6" t="str">
        <f t="shared" ref="E131:E194" si="7">IF(A131="", "", EntityLocal)</f>
        <v>HFRXEMN Index</v>
      </c>
      <c r="F131" s="5">
        <f t="shared" ref="F131:F194" si="8">IF(B131="","", B131)</f>
        <v>-2.3262052465333467E-4</v>
      </c>
    </row>
    <row r="132" spans="1:6" x14ac:dyDescent="0.35">
      <c r="A132" s="8">
        <v>45477</v>
      </c>
      <c r="B132" s="7">
        <v>-8.1881674544601079E-4</v>
      </c>
      <c r="D132" s="6" t="str">
        <f t="shared" si="6"/>
        <v>07/04/2024</v>
      </c>
      <c r="E132" s="6" t="str">
        <f t="shared" si="7"/>
        <v>HFRXEMN Index</v>
      </c>
      <c r="F132" s="5">
        <f t="shared" si="8"/>
        <v>-8.1881674544601079E-4</v>
      </c>
    </row>
    <row r="133" spans="1:6" x14ac:dyDescent="0.35">
      <c r="A133" s="10">
        <v>45478</v>
      </c>
      <c r="B133" s="9">
        <v>5.7770418572938864E-4</v>
      </c>
      <c r="D133" s="6" t="str">
        <f t="shared" si="6"/>
        <v>07/05/2024</v>
      </c>
      <c r="E133" s="6" t="str">
        <f t="shared" si="7"/>
        <v>HFRXEMN Index</v>
      </c>
      <c r="F133" s="5">
        <f t="shared" si="8"/>
        <v>5.7770418572938864E-4</v>
      </c>
    </row>
    <row r="134" spans="1:6" x14ac:dyDescent="0.35">
      <c r="A134" s="8">
        <v>45481</v>
      </c>
      <c r="B134" s="7">
        <v>1.2082198563996757E-4</v>
      </c>
      <c r="D134" s="6" t="str">
        <f t="shared" si="6"/>
        <v>07/08/2024</v>
      </c>
      <c r="E134" s="6" t="str">
        <f t="shared" si="7"/>
        <v>HFRXEMN Index</v>
      </c>
      <c r="F134" s="5">
        <f t="shared" si="8"/>
        <v>1.2082198563996757E-4</v>
      </c>
    </row>
    <row r="135" spans="1:6" x14ac:dyDescent="0.35">
      <c r="A135" s="10">
        <v>45482</v>
      </c>
      <c r="B135" s="9">
        <v>-4.3668900613138824E-4</v>
      </c>
      <c r="D135" s="6" t="str">
        <f t="shared" si="6"/>
        <v>07/09/2024</v>
      </c>
      <c r="E135" s="6" t="str">
        <f t="shared" si="7"/>
        <v>HFRXEMN Index</v>
      </c>
      <c r="F135" s="5">
        <f t="shared" si="8"/>
        <v>-4.3668900613138824E-4</v>
      </c>
    </row>
    <row r="136" spans="1:6" x14ac:dyDescent="0.35">
      <c r="A136" s="8">
        <v>45483</v>
      </c>
      <c r="B136" s="7">
        <v>-6.9841326450251781E-4</v>
      </c>
      <c r="D136" s="6" t="str">
        <f t="shared" si="6"/>
        <v>07/10/2024</v>
      </c>
      <c r="E136" s="6" t="str">
        <f t="shared" si="7"/>
        <v>HFRXEMN Index</v>
      </c>
      <c r="F136" s="5">
        <f t="shared" si="8"/>
        <v>-6.9841326450251781E-4</v>
      </c>
    </row>
    <row r="137" spans="1:6" x14ac:dyDescent="0.35">
      <c r="A137" s="10">
        <v>45484</v>
      </c>
      <c r="B137" s="9">
        <v>9.1600692358477737E-4</v>
      </c>
      <c r="D137" s="6" t="str">
        <f t="shared" si="6"/>
        <v>07/11/2024</v>
      </c>
      <c r="E137" s="6" t="str">
        <f t="shared" si="7"/>
        <v>HFRXEMN Index</v>
      </c>
      <c r="F137" s="5">
        <f t="shared" si="8"/>
        <v>9.1600692358477737E-4</v>
      </c>
    </row>
    <row r="138" spans="1:6" x14ac:dyDescent="0.35">
      <c r="A138" s="8">
        <v>45485</v>
      </c>
      <c r="B138" s="7">
        <v>-2.1066706284355498E-3</v>
      </c>
      <c r="D138" s="6" t="str">
        <f t="shared" si="6"/>
        <v>07/12/2024</v>
      </c>
      <c r="E138" s="6" t="str">
        <f t="shared" si="7"/>
        <v>HFRXEMN Index</v>
      </c>
      <c r="F138" s="5">
        <f t="shared" si="8"/>
        <v>-2.1066706284355498E-3</v>
      </c>
    </row>
    <row r="139" spans="1:6" x14ac:dyDescent="0.35">
      <c r="A139" s="10">
        <v>45488</v>
      </c>
      <c r="B139" s="9">
        <v>2.9299579265187974E-3</v>
      </c>
      <c r="D139" s="6" t="str">
        <f t="shared" si="6"/>
        <v>07/15/2024</v>
      </c>
      <c r="E139" s="6" t="str">
        <f t="shared" si="7"/>
        <v>HFRXEMN Index</v>
      </c>
      <c r="F139" s="5">
        <f t="shared" si="8"/>
        <v>2.9299579265187974E-3</v>
      </c>
    </row>
    <row r="140" spans="1:6" x14ac:dyDescent="0.35">
      <c r="A140" s="8">
        <v>45489</v>
      </c>
      <c r="B140" s="7">
        <v>2.5186174818772945E-3</v>
      </c>
      <c r="D140" s="6" t="str">
        <f t="shared" si="6"/>
        <v>07/16/2024</v>
      </c>
      <c r="E140" s="6" t="str">
        <f t="shared" si="7"/>
        <v>HFRXEMN Index</v>
      </c>
      <c r="F140" s="5">
        <f t="shared" si="8"/>
        <v>2.5186174818772945E-3</v>
      </c>
    </row>
    <row r="141" spans="1:6" x14ac:dyDescent="0.35">
      <c r="A141" s="10">
        <v>45490</v>
      </c>
      <c r="B141" s="9">
        <v>-1.5004639592505397E-3</v>
      </c>
      <c r="D141" s="6" t="str">
        <f t="shared" si="6"/>
        <v>07/17/2024</v>
      </c>
      <c r="E141" s="6" t="str">
        <f t="shared" si="7"/>
        <v>HFRXEMN Index</v>
      </c>
      <c r="F141" s="5">
        <f t="shared" si="8"/>
        <v>-1.5004639592505397E-3</v>
      </c>
    </row>
    <row r="142" spans="1:6" x14ac:dyDescent="0.35">
      <c r="A142" s="8">
        <v>45491</v>
      </c>
      <c r="B142" s="7">
        <v>-2.0415224913495349E-3</v>
      </c>
      <c r="D142" s="6" t="str">
        <f t="shared" si="6"/>
        <v>07/18/2024</v>
      </c>
      <c r="E142" s="6" t="str">
        <f t="shared" si="7"/>
        <v>HFRXEMN Index</v>
      </c>
      <c r="F142" s="5">
        <f t="shared" si="8"/>
        <v>-2.0415224913495349E-3</v>
      </c>
    </row>
    <row r="143" spans="1:6" x14ac:dyDescent="0.35">
      <c r="A143" s="10">
        <v>45492</v>
      </c>
      <c r="B143" s="9">
        <v>2.8927073065628797E-4</v>
      </c>
      <c r="D143" s="6" t="str">
        <f t="shared" si="6"/>
        <v>07/19/2024</v>
      </c>
      <c r="E143" s="6" t="str">
        <f t="shared" si="7"/>
        <v>HFRXEMN Index</v>
      </c>
      <c r="F143" s="5">
        <f t="shared" si="8"/>
        <v>2.8927073065628797E-4</v>
      </c>
    </row>
    <row r="144" spans="1:6" x14ac:dyDescent="0.35">
      <c r="A144" s="8">
        <v>45495</v>
      </c>
      <c r="B144" s="7">
        <v>1.8717930688203665E-4</v>
      </c>
      <c r="D144" s="6" t="str">
        <f t="shared" si="6"/>
        <v>07/22/2024</v>
      </c>
      <c r="E144" s="6" t="str">
        <f t="shared" si="7"/>
        <v>HFRXEMN Index</v>
      </c>
      <c r="F144" s="5">
        <f t="shared" si="8"/>
        <v>1.8717930688203665E-4</v>
      </c>
    </row>
    <row r="145" spans="1:6" x14ac:dyDescent="0.35">
      <c r="A145" s="10">
        <v>45496</v>
      </c>
      <c r="B145" s="9">
        <v>2.2982109403157417E-3</v>
      </c>
      <c r="D145" s="6" t="str">
        <f t="shared" si="6"/>
        <v>07/23/2024</v>
      </c>
      <c r="E145" s="6" t="str">
        <f t="shared" si="7"/>
        <v>HFRXEMN Index</v>
      </c>
      <c r="F145" s="5">
        <f t="shared" si="8"/>
        <v>2.2982109403157417E-3</v>
      </c>
    </row>
    <row r="146" spans="1:6" x14ac:dyDescent="0.35">
      <c r="A146" s="8">
        <v>45497</v>
      </c>
      <c r="B146" s="7">
        <v>1.4235796557525865E-3</v>
      </c>
      <c r="D146" s="6" t="str">
        <f t="shared" si="6"/>
        <v>07/24/2024</v>
      </c>
      <c r="E146" s="6" t="str">
        <f t="shared" si="7"/>
        <v>HFRXEMN Index</v>
      </c>
      <c r="F146" s="5">
        <f t="shared" si="8"/>
        <v>1.4235796557525865E-3</v>
      </c>
    </row>
    <row r="147" spans="1:6" x14ac:dyDescent="0.35">
      <c r="A147" s="10">
        <v>45498</v>
      </c>
      <c r="B147" s="9">
        <v>-2.5550519987610915E-4</v>
      </c>
      <c r="D147" s="6" t="str">
        <f t="shared" si="6"/>
        <v>07/25/2024</v>
      </c>
      <c r="E147" s="6" t="str">
        <f t="shared" si="7"/>
        <v>HFRXEMN Index</v>
      </c>
      <c r="F147" s="5">
        <f t="shared" si="8"/>
        <v>-2.5550519987610915E-4</v>
      </c>
    </row>
    <row r="148" spans="1:6" x14ac:dyDescent="0.35">
      <c r="A148" s="8">
        <v>45499</v>
      </c>
      <c r="B148" s="7">
        <v>1.8087286699775414E-3</v>
      </c>
      <c r="D148" s="6" t="str">
        <f t="shared" si="6"/>
        <v>07/26/2024</v>
      </c>
      <c r="E148" s="6" t="str">
        <f t="shared" si="7"/>
        <v>HFRXEMN Index</v>
      </c>
      <c r="F148" s="5">
        <f t="shared" si="8"/>
        <v>1.8087286699775414E-3</v>
      </c>
    </row>
    <row r="149" spans="1:6" x14ac:dyDescent="0.35">
      <c r="A149" s="10">
        <v>45502</v>
      </c>
      <c r="B149" s="9">
        <v>-1.1140091327079109E-3</v>
      </c>
      <c r="D149" s="6" t="str">
        <f t="shared" si="6"/>
        <v>07/29/2024</v>
      </c>
      <c r="E149" s="6" t="str">
        <f t="shared" si="7"/>
        <v>HFRXEMN Index</v>
      </c>
      <c r="F149" s="5">
        <f t="shared" si="8"/>
        <v>-1.1140091327079109E-3</v>
      </c>
    </row>
    <row r="150" spans="1:6" x14ac:dyDescent="0.35">
      <c r="A150" s="8">
        <v>45503</v>
      </c>
      <c r="B150" s="7">
        <v>4.4570618298999645E-4</v>
      </c>
      <c r="D150" s="6" t="str">
        <f t="shared" si="6"/>
        <v>07/30/2024</v>
      </c>
      <c r="E150" s="6" t="str">
        <f t="shared" si="7"/>
        <v>HFRXEMN Index</v>
      </c>
      <c r="F150" s="5">
        <f t="shared" si="8"/>
        <v>4.4570618298999645E-4</v>
      </c>
    </row>
    <row r="151" spans="1:6" x14ac:dyDescent="0.35">
      <c r="A151" s="10">
        <v>45504</v>
      </c>
      <c r="B151" s="9">
        <v>3.4497271265811495E-5</v>
      </c>
      <c r="D151" s="6" t="str">
        <f t="shared" si="6"/>
        <v>07/31/2024</v>
      </c>
      <c r="E151" s="6" t="str">
        <f t="shared" si="7"/>
        <v>HFRXEMN Index</v>
      </c>
      <c r="F151" s="5">
        <f t="shared" si="8"/>
        <v>3.4497271265811495E-5</v>
      </c>
    </row>
    <row r="152" spans="1:6" x14ac:dyDescent="0.35">
      <c r="A152" s="8">
        <v>45505</v>
      </c>
      <c r="B152" s="7">
        <v>-1.3246495198144873E-3</v>
      </c>
      <c r="D152" s="6" t="str">
        <f t="shared" si="6"/>
        <v>08/01/2024</v>
      </c>
      <c r="E152" s="6" t="str">
        <f t="shared" si="7"/>
        <v>HFRXEMN Index</v>
      </c>
      <c r="F152" s="5">
        <f t="shared" si="8"/>
        <v>-1.3246495198144873E-3</v>
      </c>
    </row>
    <row r="153" spans="1:6" x14ac:dyDescent="0.35">
      <c r="A153" s="10">
        <v>45506</v>
      </c>
      <c r="B153" s="9">
        <v>-1.842560280440203E-3</v>
      </c>
      <c r="D153" s="6" t="str">
        <f t="shared" si="6"/>
        <v>08/02/2024</v>
      </c>
      <c r="E153" s="6" t="str">
        <f t="shared" si="7"/>
        <v>HFRXEMN Index</v>
      </c>
      <c r="F153" s="5">
        <f t="shared" si="8"/>
        <v>-1.842560280440203E-3</v>
      </c>
    </row>
    <row r="154" spans="1:6" x14ac:dyDescent="0.35">
      <c r="A154" s="8">
        <v>45509</v>
      </c>
      <c r="B154" s="7">
        <v>-4.1625593115265681E-3</v>
      </c>
      <c r="D154" s="6" t="str">
        <f t="shared" si="6"/>
        <v>08/05/2024</v>
      </c>
      <c r="E154" s="6" t="str">
        <f t="shared" si="7"/>
        <v>HFRXEMN Index</v>
      </c>
      <c r="F154" s="5">
        <f t="shared" si="8"/>
        <v>-4.1625593115265681E-3</v>
      </c>
    </row>
    <row r="155" spans="1:6" x14ac:dyDescent="0.35">
      <c r="A155" s="10">
        <v>45510</v>
      </c>
      <c r="B155" s="9">
        <v>-1.2381017626319217E-3</v>
      </c>
      <c r="D155" s="6" t="str">
        <f t="shared" si="6"/>
        <v>08/06/2024</v>
      </c>
      <c r="E155" s="6" t="str">
        <f t="shared" si="7"/>
        <v>HFRXEMN Index</v>
      </c>
      <c r="F155" s="5">
        <f t="shared" si="8"/>
        <v>-1.2381017626319217E-3</v>
      </c>
    </row>
    <row r="156" spans="1:6" x14ac:dyDescent="0.35">
      <c r="A156" s="8">
        <v>45511</v>
      </c>
      <c r="B156" s="7">
        <v>4.6652881881622992E-3</v>
      </c>
      <c r="D156" s="6" t="str">
        <f t="shared" si="6"/>
        <v>08/07/2024</v>
      </c>
      <c r="E156" s="6" t="str">
        <f t="shared" si="7"/>
        <v>HFRXEMN Index</v>
      </c>
      <c r="F156" s="5">
        <f t="shared" si="8"/>
        <v>4.6652881881622992E-3</v>
      </c>
    </row>
    <row r="157" spans="1:6" x14ac:dyDescent="0.35">
      <c r="A157" s="10">
        <v>45512</v>
      </c>
      <c r="B157" s="9">
        <v>1.6474823204862335E-3</v>
      </c>
      <c r="D157" s="6" t="str">
        <f t="shared" si="6"/>
        <v>08/08/2024</v>
      </c>
      <c r="E157" s="6" t="str">
        <f t="shared" si="7"/>
        <v>HFRXEMN Index</v>
      </c>
      <c r="F157" s="5">
        <f t="shared" si="8"/>
        <v>1.6474823204862335E-3</v>
      </c>
    </row>
    <row r="158" spans="1:6" x14ac:dyDescent="0.35">
      <c r="A158" s="8">
        <v>45513</v>
      </c>
      <c r="B158" s="7">
        <v>1.2486441739487878E-3</v>
      </c>
      <c r="D158" s="6" t="str">
        <f t="shared" si="6"/>
        <v>08/09/2024</v>
      </c>
      <c r="E158" s="6" t="str">
        <f t="shared" si="7"/>
        <v>HFRXEMN Index</v>
      </c>
      <c r="F158" s="5">
        <f t="shared" si="8"/>
        <v>1.2486441739487878E-3</v>
      </c>
    </row>
    <row r="159" spans="1:6" x14ac:dyDescent="0.35">
      <c r="A159" s="10">
        <v>45516</v>
      </c>
      <c r="B159" s="9">
        <v>4.094470787183849E-4</v>
      </c>
      <c r="D159" s="6" t="str">
        <f t="shared" si="6"/>
        <v>08/12/2024</v>
      </c>
      <c r="E159" s="6" t="str">
        <f t="shared" si="7"/>
        <v>HFRXEMN Index</v>
      </c>
      <c r="F159" s="5">
        <f t="shared" si="8"/>
        <v>4.094470787183849E-4</v>
      </c>
    </row>
    <row r="160" spans="1:6" x14ac:dyDescent="0.35">
      <c r="A160" s="8">
        <v>45517</v>
      </c>
      <c r="B160" s="7">
        <v>1.2238936386130903E-3</v>
      </c>
      <c r="D160" s="6" t="str">
        <f t="shared" si="6"/>
        <v>08/13/2024</v>
      </c>
      <c r="E160" s="6" t="str">
        <f t="shared" si="7"/>
        <v>HFRXEMN Index</v>
      </c>
      <c r="F160" s="5">
        <f t="shared" si="8"/>
        <v>1.2238936386130903E-3</v>
      </c>
    </row>
    <row r="161" spans="1:6" x14ac:dyDescent="0.35">
      <c r="A161" s="10">
        <v>45518</v>
      </c>
      <c r="B161" s="9">
        <v>3.9006400595741194E-4</v>
      </c>
      <c r="D161" s="6" t="str">
        <f t="shared" si="6"/>
        <v>08/14/2024</v>
      </c>
      <c r="E161" s="6" t="str">
        <f t="shared" si="7"/>
        <v>HFRXEMN Index</v>
      </c>
      <c r="F161" s="5">
        <f t="shared" si="8"/>
        <v>3.9006400595741194E-4</v>
      </c>
    </row>
    <row r="162" spans="1:6" x14ac:dyDescent="0.35">
      <c r="A162" s="8">
        <v>45519</v>
      </c>
      <c r="B162" s="7">
        <v>2.5078425464791858E-3</v>
      </c>
      <c r="D162" s="6" t="str">
        <f t="shared" si="6"/>
        <v>08/15/2024</v>
      </c>
      <c r="E162" s="6" t="str">
        <f t="shared" si="7"/>
        <v>HFRXEMN Index</v>
      </c>
      <c r="F162" s="5">
        <f t="shared" si="8"/>
        <v>2.5078425464791858E-3</v>
      </c>
    </row>
    <row r="163" spans="1:6" x14ac:dyDescent="0.35">
      <c r="A163" s="10">
        <v>45520</v>
      </c>
      <c r="B163" s="9">
        <v>1.6107472197423591E-3</v>
      </c>
      <c r="D163" s="6" t="str">
        <f t="shared" si="6"/>
        <v>08/16/2024</v>
      </c>
      <c r="E163" s="6" t="str">
        <f t="shared" si="7"/>
        <v>HFRXEMN Index</v>
      </c>
      <c r="F163" s="5">
        <f t="shared" si="8"/>
        <v>1.6107472197423591E-3</v>
      </c>
    </row>
    <row r="164" spans="1:6" x14ac:dyDescent="0.35">
      <c r="A164" s="8">
        <v>45523</v>
      </c>
      <c r="B164" s="7">
        <v>-7.5308810248276778E-4</v>
      </c>
      <c r="D164" s="6" t="str">
        <f t="shared" si="6"/>
        <v>08/19/2024</v>
      </c>
      <c r="E164" s="6" t="str">
        <f t="shared" si="7"/>
        <v>HFRXEMN Index</v>
      </c>
      <c r="F164" s="5">
        <f t="shared" si="8"/>
        <v>-7.5308810248276778E-4</v>
      </c>
    </row>
    <row r="165" spans="1:6" x14ac:dyDescent="0.35">
      <c r="A165" s="10">
        <v>45524</v>
      </c>
      <c r="B165" s="9">
        <v>-3.1304187401189163E-4</v>
      </c>
      <c r="D165" s="6" t="str">
        <f t="shared" si="6"/>
        <v>08/20/2024</v>
      </c>
      <c r="E165" s="6" t="str">
        <f t="shared" si="7"/>
        <v>HFRXEMN Index</v>
      </c>
      <c r="F165" s="5">
        <f t="shared" si="8"/>
        <v>-3.1304187401189163E-4</v>
      </c>
    </row>
    <row r="166" spans="1:6" x14ac:dyDescent="0.35">
      <c r="A166" s="8">
        <v>45525</v>
      </c>
      <c r="B166" s="7">
        <v>1.1386905451382509E-3</v>
      </c>
      <c r="D166" s="6" t="str">
        <f t="shared" si="6"/>
        <v>08/21/2024</v>
      </c>
      <c r="E166" s="6" t="str">
        <f t="shared" si="7"/>
        <v>HFRXEMN Index</v>
      </c>
      <c r="F166" s="5">
        <f t="shared" si="8"/>
        <v>1.1386905451382509E-3</v>
      </c>
    </row>
    <row r="167" spans="1:6" x14ac:dyDescent="0.35">
      <c r="A167" s="10">
        <v>45526</v>
      </c>
      <c r="B167" s="9">
        <v>2.4905037288921875E-4</v>
      </c>
      <c r="D167" s="6" t="str">
        <f t="shared" si="6"/>
        <v>08/22/2024</v>
      </c>
      <c r="E167" s="6" t="str">
        <f t="shared" si="7"/>
        <v>HFRXEMN Index</v>
      </c>
      <c r="F167" s="5">
        <f t="shared" si="8"/>
        <v>2.4905037288921875E-4</v>
      </c>
    </row>
    <row r="168" spans="1:6" x14ac:dyDescent="0.35">
      <c r="A168" s="8">
        <v>45527</v>
      </c>
      <c r="B168" s="7">
        <v>9.0576868785091494E-4</v>
      </c>
      <c r="D168" s="6" t="str">
        <f t="shared" si="6"/>
        <v>08/23/2024</v>
      </c>
      <c r="E168" s="6" t="str">
        <f t="shared" si="7"/>
        <v>HFRXEMN Index</v>
      </c>
      <c r="F168" s="5">
        <f t="shared" si="8"/>
        <v>9.0576868785091494E-4</v>
      </c>
    </row>
    <row r="169" spans="1:6" x14ac:dyDescent="0.35">
      <c r="A169" s="10">
        <v>45530</v>
      </c>
      <c r="B169" s="9">
        <v>1.623815437411626E-3</v>
      </c>
      <c r="D169" s="6" t="str">
        <f t="shared" si="6"/>
        <v>08/26/2024</v>
      </c>
      <c r="E169" s="6" t="str">
        <f t="shared" si="7"/>
        <v>HFRXEMN Index</v>
      </c>
      <c r="F169" s="5">
        <f t="shared" si="8"/>
        <v>1.623815437411626E-3</v>
      </c>
    </row>
    <row r="170" spans="1:6" x14ac:dyDescent="0.35">
      <c r="A170" s="8">
        <v>45531</v>
      </c>
      <c r="B170" s="7">
        <v>-1.6798505930323109E-3</v>
      </c>
      <c r="D170" s="6" t="str">
        <f t="shared" si="6"/>
        <v>08/27/2024</v>
      </c>
      <c r="E170" s="6" t="str">
        <f t="shared" si="7"/>
        <v>HFRXEMN Index</v>
      </c>
      <c r="F170" s="5">
        <f t="shared" si="8"/>
        <v>-1.6798505930323109E-3</v>
      </c>
    </row>
    <row r="171" spans="1:6" x14ac:dyDescent="0.35">
      <c r="A171" s="10">
        <v>45532</v>
      </c>
      <c r="B171" s="9">
        <v>2.8560458847866131E-3</v>
      </c>
      <c r="D171" s="6" t="str">
        <f t="shared" si="6"/>
        <v>08/28/2024</v>
      </c>
      <c r="E171" s="6" t="str">
        <f t="shared" si="7"/>
        <v>HFRXEMN Index</v>
      </c>
      <c r="F171" s="5">
        <f t="shared" si="8"/>
        <v>2.8560458847866131E-3</v>
      </c>
    </row>
    <row r="172" spans="1:6" x14ac:dyDescent="0.35">
      <c r="A172" s="8">
        <v>45533</v>
      </c>
      <c r="B172" s="7">
        <v>7.0123487657090377E-4</v>
      </c>
      <c r="D172" s="6" t="str">
        <f t="shared" si="6"/>
        <v>08/29/2024</v>
      </c>
      <c r="E172" s="6" t="str">
        <f t="shared" si="7"/>
        <v>HFRXEMN Index</v>
      </c>
      <c r="F172" s="5">
        <f t="shared" si="8"/>
        <v>7.0123487657090377E-4</v>
      </c>
    </row>
    <row r="173" spans="1:6" x14ac:dyDescent="0.35">
      <c r="A173" s="10">
        <v>45534</v>
      </c>
      <c r="B173" s="9">
        <v>5.0652628373670534E-4</v>
      </c>
      <c r="D173" s="6" t="str">
        <f t="shared" si="6"/>
        <v>08/30/2024</v>
      </c>
      <c r="E173" s="6" t="str">
        <f t="shared" si="7"/>
        <v>HFRXEMN Index</v>
      </c>
      <c r="F173" s="5">
        <f t="shared" si="8"/>
        <v>5.0652628373670534E-4</v>
      </c>
    </row>
    <row r="174" spans="1:6" x14ac:dyDescent="0.35">
      <c r="A174" s="8">
        <v>45537</v>
      </c>
      <c r="B174" s="7">
        <v>4.3896229313972909E-5</v>
      </c>
      <c r="D174" s="6" t="str">
        <f t="shared" si="6"/>
        <v>09/02/2024</v>
      </c>
      <c r="E174" s="6" t="str">
        <f t="shared" si="7"/>
        <v>HFRXEMN Index</v>
      </c>
      <c r="F174" s="5">
        <f t="shared" si="8"/>
        <v>4.3896229313972909E-5</v>
      </c>
    </row>
    <row r="175" spans="1:6" x14ac:dyDescent="0.35">
      <c r="A175" s="10">
        <v>45538</v>
      </c>
      <c r="B175" s="9">
        <v>-1.0027409553351281E-3</v>
      </c>
      <c r="D175" s="6" t="str">
        <f t="shared" si="6"/>
        <v>09/03/2024</v>
      </c>
      <c r="E175" s="6" t="str">
        <f t="shared" si="7"/>
        <v>HFRXEMN Index</v>
      </c>
      <c r="F175" s="5">
        <f t="shared" si="8"/>
        <v>-1.0027409553351281E-3</v>
      </c>
    </row>
    <row r="176" spans="1:6" x14ac:dyDescent="0.35">
      <c r="A176" s="8">
        <v>45539</v>
      </c>
      <c r="B176" s="7">
        <v>-1.5427246861349E-4</v>
      </c>
      <c r="D176" s="6" t="str">
        <f t="shared" si="6"/>
        <v>09/04/2024</v>
      </c>
      <c r="E176" s="6" t="str">
        <f t="shared" si="7"/>
        <v>HFRXEMN Index</v>
      </c>
      <c r="F176" s="5">
        <f t="shared" si="8"/>
        <v>-1.5427246861349E-4</v>
      </c>
    </row>
    <row r="177" spans="1:6" x14ac:dyDescent="0.35">
      <c r="A177" s="10">
        <v>45540</v>
      </c>
      <c r="B177" s="9">
        <v>-1.3281198120318866E-3</v>
      </c>
      <c r="D177" s="6" t="str">
        <f t="shared" si="6"/>
        <v>09/05/2024</v>
      </c>
      <c r="E177" s="6" t="str">
        <f t="shared" si="7"/>
        <v>HFRXEMN Index</v>
      </c>
      <c r="F177" s="5">
        <f t="shared" si="8"/>
        <v>-1.3281198120318866E-3</v>
      </c>
    </row>
    <row r="178" spans="1:6" x14ac:dyDescent="0.35">
      <c r="A178" s="8">
        <v>45541</v>
      </c>
      <c r="B178" s="7">
        <v>-4.4101368609215116E-4</v>
      </c>
      <c r="D178" s="6" t="str">
        <f t="shared" si="6"/>
        <v>09/06/2024</v>
      </c>
      <c r="E178" s="6" t="str">
        <f t="shared" si="7"/>
        <v>HFRXEMN Index</v>
      </c>
      <c r="F178" s="5">
        <f t="shared" si="8"/>
        <v>-4.4101368609215116E-4</v>
      </c>
    </row>
    <row r="179" spans="1:6" x14ac:dyDescent="0.35">
      <c r="A179" s="10">
        <v>45544</v>
      </c>
      <c r="B179" s="9">
        <v>-3.1500900514873684E-4</v>
      </c>
      <c r="D179" s="6" t="str">
        <f t="shared" si="6"/>
        <v>09/09/2024</v>
      </c>
      <c r="E179" s="6" t="str">
        <f t="shared" si="7"/>
        <v>HFRXEMN Index</v>
      </c>
      <c r="F179" s="5">
        <f t="shared" si="8"/>
        <v>-3.1500900514873684E-4</v>
      </c>
    </row>
    <row r="180" spans="1:6" x14ac:dyDescent="0.35">
      <c r="A180" s="8">
        <v>45545</v>
      </c>
      <c r="B180" s="7">
        <v>1.3739503322826427E-3</v>
      </c>
      <c r="D180" s="6" t="str">
        <f t="shared" si="6"/>
        <v>09/10/2024</v>
      </c>
      <c r="E180" s="6" t="str">
        <f t="shared" si="7"/>
        <v>HFRXEMN Index</v>
      </c>
      <c r="F180" s="5">
        <f t="shared" si="8"/>
        <v>1.3739503322826427E-3</v>
      </c>
    </row>
    <row r="181" spans="1:6" x14ac:dyDescent="0.35">
      <c r="A181" s="10">
        <v>45546</v>
      </c>
      <c r="B181" s="9">
        <v>-1.7531944003322498E-3</v>
      </c>
      <c r="D181" s="6" t="str">
        <f t="shared" si="6"/>
        <v>09/11/2024</v>
      </c>
      <c r="E181" s="6" t="str">
        <f t="shared" si="7"/>
        <v>HFRXEMN Index</v>
      </c>
      <c r="F181" s="5">
        <f t="shared" si="8"/>
        <v>-1.7531944003322498E-3</v>
      </c>
    </row>
    <row r="182" spans="1:6" x14ac:dyDescent="0.35">
      <c r="A182" s="8">
        <v>45547</v>
      </c>
      <c r="B182" s="7">
        <v>5.5801331595991513E-4</v>
      </c>
      <c r="D182" s="6" t="str">
        <f t="shared" si="6"/>
        <v>09/12/2024</v>
      </c>
      <c r="E182" s="6" t="str">
        <f t="shared" si="7"/>
        <v>HFRXEMN Index</v>
      </c>
      <c r="F182" s="5">
        <f t="shared" si="8"/>
        <v>5.5801331595991513E-4</v>
      </c>
    </row>
    <row r="183" spans="1:6" x14ac:dyDescent="0.35">
      <c r="A183" s="10">
        <v>45548</v>
      </c>
      <c r="B183" s="9">
        <v>6.2521341889984938E-4</v>
      </c>
      <c r="D183" s="6" t="str">
        <f t="shared" si="6"/>
        <v>09/13/2024</v>
      </c>
      <c r="E183" s="6" t="str">
        <f t="shared" si="7"/>
        <v>HFRXEMN Index</v>
      </c>
      <c r="F183" s="5">
        <f t="shared" si="8"/>
        <v>6.2521341889984938E-4</v>
      </c>
    </row>
    <row r="184" spans="1:6" x14ac:dyDescent="0.35">
      <c r="A184" s="8">
        <v>45551</v>
      </c>
      <c r="B184" s="7">
        <v>-1.1176407317955873E-3</v>
      </c>
      <c r="D184" s="6" t="str">
        <f t="shared" si="6"/>
        <v>09/16/2024</v>
      </c>
      <c r="E184" s="6" t="str">
        <f t="shared" si="7"/>
        <v>HFRXEMN Index</v>
      </c>
      <c r="F184" s="5">
        <f t="shared" si="8"/>
        <v>-1.1176407317955873E-3</v>
      </c>
    </row>
    <row r="185" spans="1:6" x14ac:dyDescent="0.35">
      <c r="A185" s="10">
        <v>45552</v>
      </c>
      <c r="B185" s="9">
        <v>4.1114114181755732E-5</v>
      </c>
      <c r="D185" s="6" t="str">
        <f t="shared" si="6"/>
        <v>09/17/2024</v>
      </c>
      <c r="E185" s="6" t="str">
        <f t="shared" si="7"/>
        <v>HFRXEMN Index</v>
      </c>
      <c r="F185" s="5">
        <f t="shared" si="8"/>
        <v>4.1114114181755732E-5</v>
      </c>
    </row>
    <row r="186" spans="1:6" x14ac:dyDescent="0.35">
      <c r="A186" s="8">
        <v>45553</v>
      </c>
      <c r="B186" s="7">
        <v>-3.9546236304434569E-4</v>
      </c>
      <c r="D186" s="6" t="str">
        <f t="shared" si="6"/>
        <v>09/18/2024</v>
      </c>
      <c r="E186" s="6" t="str">
        <f t="shared" si="7"/>
        <v>HFRXEMN Index</v>
      </c>
      <c r="F186" s="5">
        <f t="shared" si="8"/>
        <v>-3.9546236304434569E-4</v>
      </c>
    </row>
    <row r="187" spans="1:6" x14ac:dyDescent="0.35">
      <c r="A187" s="10">
        <v>45554</v>
      </c>
      <c r="B187" s="9">
        <v>2.9358049716751108E-3</v>
      </c>
      <c r="D187" s="6" t="str">
        <f t="shared" si="6"/>
        <v>09/19/2024</v>
      </c>
      <c r="E187" s="6" t="str">
        <f t="shared" si="7"/>
        <v>HFRXEMN Index</v>
      </c>
      <c r="F187" s="5">
        <f t="shared" si="8"/>
        <v>2.9358049716751108E-3</v>
      </c>
    </row>
    <row r="188" spans="1:6" x14ac:dyDescent="0.35">
      <c r="A188" s="8">
        <v>45555</v>
      </c>
      <c r="B188" s="7">
        <v>1.0037268730295466E-3</v>
      </c>
      <c r="D188" s="6" t="str">
        <f t="shared" si="6"/>
        <v>09/20/2024</v>
      </c>
      <c r="E188" s="6" t="str">
        <f t="shared" si="7"/>
        <v>HFRXEMN Index</v>
      </c>
      <c r="F188" s="5">
        <f t="shared" si="8"/>
        <v>1.0037268730295466E-3</v>
      </c>
    </row>
    <row r="189" spans="1:6" x14ac:dyDescent="0.35">
      <c r="A189" s="10">
        <v>45558</v>
      </c>
      <c r="B189" s="9">
        <v>-1.443605267597703E-4</v>
      </c>
      <c r="D189" s="6" t="str">
        <f t="shared" si="6"/>
        <v>09/23/2024</v>
      </c>
      <c r="E189" s="6" t="str">
        <f t="shared" si="7"/>
        <v>HFRXEMN Index</v>
      </c>
      <c r="F189" s="5">
        <f t="shared" si="8"/>
        <v>-1.443605267597703E-4</v>
      </c>
    </row>
    <row r="190" spans="1:6" x14ac:dyDescent="0.35">
      <c r="A190" s="8">
        <v>45559</v>
      </c>
      <c r="B190" s="7">
        <v>-3.1510258393883375E-4</v>
      </c>
      <c r="D190" s="6" t="str">
        <f t="shared" si="6"/>
        <v>09/24/2024</v>
      </c>
      <c r="E190" s="6" t="str">
        <f t="shared" si="7"/>
        <v>HFRXEMN Index</v>
      </c>
      <c r="F190" s="5">
        <f t="shared" si="8"/>
        <v>-3.1510258393883375E-4</v>
      </c>
    </row>
    <row r="191" spans="1:6" x14ac:dyDescent="0.35">
      <c r="A191" s="10">
        <v>45560</v>
      </c>
      <c r="B191" s="9">
        <v>4.2937720787717337E-4</v>
      </c>
      <c r="D191" s="6" t="str">
        <f t="shared" si="6"/>
        <v>09/25/2024</v>
      </c>
      <c r="E191" s="6" t="str">
        <f t="shared" si="7"/>
        <v>HFRXEMN Index</v>
      </c>
      <c r="F191" s="5">
        <f t="shared" si="8"/>
        <v>4.2937720787717337E-4</v>
      </c>
    </row>
    <row r="192" spans="1:6" x14ac:dyDescent="0.35">
      <c r="A192" s="8">
        <v>45561</v>
      </c>
      <c r="B192" s="7">
        <v>2.9068066095710196E-4</v>
      </c>
      <c r="D192" s="6" t="str">
        <f t="shared" si="6"/>
        <v>09/26/2024</v>
      </c>
      <c r="E192" s="6" t="str">
        <f t="shared" si="7"/>
        <v>HFRXEMN Index</v>
      </c>
      <c r="F192" s="5">
        <f t="shared" si="8"/>
        <v>2.9068066095710196E-4</v>
      </c>
    </row>
    <row r="193" spans="1:6" x14ac:dyDescent="0.35">
      <c r="A193" s="10">
        <v>45562</v>
      </c>
      <c r="B193" s="9">
        <v>-2.2506577420482021E-3</v>
      </c>
      <c r="D193" s="6" t="str">
        <f t="shared" si="6"/>
        <v>09/27/2024</v>
      </c>
      <c r="E193" s="6" t="str">
        <f t="shared" si="7"/>
        <v>HFRXEMN Index</v>
      </c>
      <c r="F193" s="5">
        <f t="shared" si="8"/>
        <v>-2.2506577420482021E-3</v>
      </c>
    </row>
    <row r="194" spans="1:6" x14ac:dyDescent="0.35">
      <c r="A194" s="8">
        <v>45565</v>
      </c>
      <c r="B194" s="7">
        <v>-1.5842919553935135E-3</v>
      </c>
      <c r="D194" s="6" t="str">
        <f t="shared" si="6"/>
        <v>09/30/2024</v>
      </c>
      <c r="E194" s="6" t="str">
        <f t="shared" si="7"/>
        <v>HFRXEMN Index</v>
      </c>
      <c r="F194" s="5">
        <f t="shared" si="8"/>
        <v>-1.5842919553935135E-3</v>
      </c>
    </row>
    <row r="195" spans="1:6" x14ac:dyDescent="0.35">
      <c r="A195" s="10">
        <v>45566</v>
      </c>
      <c r="B195" s="9">
        <v>5.4916602140478378E-4</v>
      </c>
      <c r="D195" s="6" t="str">
        <f t="shared" ref="D195:D258" si="9">IF(A195 =  "", "",  TEXT(A195, "mm/dd/yyyy"))</f>
        <v>10/01/2024</v>
      </c>
      <c r="E195" s="6" t="str">
        <f t="shared" ref="E195:E258" si="10">IF(A195="", "", EntityLocal)</f>
        <v>HFRXEMN Index</v>
      </c>
      <c r="F195" s="5">
        <f t="shared" ref="F195:F258" si="11">IF(B195="","", B195)</f>
        <v>5.4916602140478378E-4</v>
      </c>
    </row>
    <row r="196" spans="1:6" x14ac:dyDescent="0.35">
      <c r="A196" s="8">
        <v>45567</v>
      </c>
      <c r="B196" s="7">
        <v>-4.6276819520410728E-4</v>
      </c>
      <c r="D196" s="6" t="str">
        <f t="shared" si="9"/>
        <v>10/02/2024</v>
      </c>
      <c r="E196" s="6" t="str">
        <f t="shared" si="10"/>
        <v>HFRXEMN Index</v>
      </c>
      <c r="F196" s="5">
        <f t="shared" si="11"/>
        <v>-4.6276819520410728E-4</v>
      </c>
    </row>
    <row r="197" spans="1:6" x14ac:dyDescent="0.35">
      <c r="A197" s="10">
        <v>45568</v>
      </c>
      <c r="B197" s="9">
        <v>-5.3835168459981366E-5</v>
      </c>
      <c r="D197" s="6" t="str">
        <f t="shared" si="9"/>
        <v>10/03/2024</v>
      </c>
      <c r="E197" s="6" t="str">
        <f t="shared" si="10"/>
        <v>HFRXEMN Index</v>
      </c>
      <c r="F197" s="5">
        <f t="shared" si="11"/>
        <v>-5.3835168459981366E-5</v>
      </c>
    </row>
    <row r="198" spans="1:6" x14ac:dyDescent="0.35">
      <c r="A198" s="8">
        <v>45569</v>
      </c>
      <c r="B198" s="7">
        <v>-2.838734433456772E-4</v>
      </c>
      <c r="D198" s="6" t="str">
        <f t="shared" si="9"/>
        <v>10/04/2024</v>
      </c>
      <c r="E198" s="6" t="str">
        <f t="shared" si="10"/>
        <v>HFRXEMN Index</v>
      </c>
      <c r="F198" s="5">
        <f t="shared" si="11"/>
        <v>-2.838734433456772E-4</v>
      </c>
    </row>
    <row r="199" spans="1:6" x14ac:dyDescent="0.35">
      <c r="A199" s="10">
        <v>45572</v>
      </c>
      <c r="B199" s="9">
        <v>-1.464811239097125E-3</v>
      </c>
      <c r="D199" s="6" t="str">
        <f t="shared" si="9"/>
        <v>10/07/2024</v>
      </c>
      <c r="E199" s="6" t="str">
        <f t="shared" si="10"/>
        <v>HFRXEMN Index</v>
      </c>
      <c r="F199" s="5">
        <f t="shared" si="11"/>
        <v>-1.464811239097125E-3</v>
      </c>
    </row>
    <row r="200" spans="1:6" x14ac:dyDescent="0.35">
      <c r="A200" s="8">
        <v>45573</v>
      </c>
      <c r="B200" s="7">
        <v>2.4671600986863672E-3</v>
      </c>
      <c r="D200" s="6" t="str">
        <f t="shared" si="9"/>
        <v>10/08/2024</v>
      </c>
      <c r="E200" s="6" t="str">
        <f t="shared" si="10"/>
        <v>HFRXEMN Index</v>
      </c>
      <c r="F200" s="5">
        <f t="shared" si="11"/>
        <v>2.4671600986863672E-3</v>
      </c>
    </row>
    <row r="201" spans="1:6" x14ac:dyDescent="0.35">
      <c r="A201" s="10">
        <v>45574</v>
      </c>
      <c r="B201" s="9">
        <v>1.7959292270851746E-3</v>
      </c>
      <c r="D201" s="6" t="str">
        <f t="shared" si="9"/>
        <v>10/09/2024</v>
      </c>
      <c r="E201" s="6" t="str">
        <f t="shared" si="10"/>
        <v>HFRXEMN Index</v>
      </c>
      <c r="F201" s="5">
        <f t="shared" si="11"/>
        <v>1.7959292270851746E-3</v>
      </c>
    </row>
    <row r="202" spans="1:6" x14ac:dyDescent="0.35">
      <c r="A202" s="8">
        <v>45575</v>
      </c>
      <c r="B202" s="7">
        <v>1.2478665192921532E-3</v>
      </c>
      <c r="D202" s="6" t="str">
        <f t="shared" si="9"/>
        <v>10/10/2024</v>
      </c>
      <c r="E202" s="6" t="str">
        <f t="shared" si="10"/>
        <v>HFRXEMN Index</v>
      </c>
      <c r="F202" s="5">
        <f t="shared" si="11"/>
        <v>1.2478665192921532E-3</v>
      </c>
    </row>
    <row r="203" spans="1:6" x14ac:dyDescent="0.35">
      <c r="A203" s="10">
        <v>45576</v>
      </c>
      <c r="B203" s="9">
        <v>1.2404600624522511E-3</v>
      </c>
      <c r="D203" s="6" t="str">
        <f t="shared" si="9"/>
        <v>10/11/2024</v>
      </c>
      <c r="E203" s="6" t="str">
        <f t="shared" si="10"/>
        <v>HFRXEMN Index</v>
      </c>
      <c r="F203" s="5">
        <f t="shared" si="11"/>
        <v>1.2404600624522511E-3</v>
      </c>
    </row>
    <row r="204" spans="1:6" x14ac:dyDescent="0.35">
      <c r="A204" s="8">
        <v>45579</v>
      </c>
      <c r="B204" s="7">
        <v>9.3503639823960794E-4</v>
      </c>
      <c r="D204" s="6" t="str">
        <f t="shared" si="9"/>
        <v>10/14/2024</v>
      </c>
      <c r="E204" s="6" t="str">
        <f t="shared" si="10"/>
        <v>HFRXEMN Index</v>
      </c>
      <c r="F204" s="5">
        <f t="shared" si="11"/>
        <v>9.3503639823960794E-4</v>
      </c>
    </row>
    <row r="205" spans="1:6" x14ac:dyDescent="0.35">
      <c r="A205" s="10">
        <v>45580</v>
      </c>
      <c r="B205" s="9">
        <v>2.6662566729409454E-4</v>
      </c>
      <c r="D205" s="6" t="str">
        <f t="shared" si="9"/>
        <v>10/15/2024</v>
      </c>
      <c r="E205" s="6" t="str">
        <f t="shared" si="10"/>
        <v>HFRXEMN Index</v>
      </c>
      <c r="F205" s="5">
        <f t="shared" si="11"/>
        <v>2.6662566729409454E-4</v>
      </c>
    </row>
    <row r="206" spans="1:6" x14ac:dyDescent="0.35">
      <c r="A206" s="8">
        <v>45581</v>
      </c>
      <c r="B206" s="7">
        <v>3.8134818256465675E-4</v>
      </c>
      <c r="D206" s="6" t="str">
        <f t="shared" si="9"/>
        <v>10/16/2024</v>
      </c>
      <c r="E206" s="6" t="str">
        <f t="shared" si="10"/>
        <v>HFRXEMN Index</v>
      </c>
      <c r="F206" s="5">
        <f t="shared" si="11"/>
        <v>3.8134818256465675E-4</v>
      </c>
    </row>
    <row r="207" spans="1:6" x14ac:dyDescent="0.35">
      <c r="A207" s="10">
        <v>45582</v>
      </c>
      <c r="B207" s="9">
        <v>2.4992123105153089E-4</v>
      </c>
      <c r="D207" s="6" t="str">
        <f t="shared" si="9"/>
        <v>10/17/2024</v>
      </c>
      <c r="E207" s="6" t="str">
        <f t="shared" si="10"/>
        <v>HFRXEMN Index</v>
      </c>
      <c r="F207" s="5">
        <f t="shared" si="11"/>
        <v>2.4992123105153089E-4</v>
      </c>
    </row>
    <row r="208" spans="1:6" x14ac:dyDescent="0.35">
      <c r="A208" s="8">
        <v>45583</v>
      </c>
      <c r="B208" s="7">
        <v>-2.2166460395422249E-4</v>
      </c>
      <c r="D208" s="6" t="str">
        <f t="shared" si="9"/>
        <v>10/18/2024</v>
      </c>
      <c r="E208" s="6" t="str">
        <f t="shared" si="10"/>
        <v>HFRXEMN Index</v>
      </c>
      <c r="F208" s="5">
        <f t="shared" si="11"/>
        <v>-2.2166460395422249E-4</v>
      </c>
    </row>
    <row r="209" spans="1:6" x14ac:dyDescent="0.35">
      <c r="A209" s="10">
        <v>45586</v>
      </c>
      <c r="B209" s="9">
        <v>-5.9512638169974708E-4</v>
      </c>
      <c r="D209" s="6" t="str">
        <f t="shared" si="9"/>
        <v>10/21/2024</v>
      </c>
      <c r="E209" s="6" t="str">
        <f t="shared" si="10"/>
        <v>HFRXEMN Index</v>
      </c>
      <c r="F209" s="5">
        <f t="shared" si="11"/>
        <v>-5.9512638169974708E-4</v>
      </c>
    </row>
    <row r="210" spans="1:6" x14ac:dyDescent="0.35">
      <c r="A210" s="8">
        <v>45587</v>
      </c>
      <c r="B210" s="7">
        <v>-4.5439463833796479E-4</v>
      </c>
      <c r="D210" s="6" t="str">
        <f t="shared" si="9"/>
        <v>10/22/2024</v>
      </c>
      <c r="E210" s="6" t="str">
        <f t="shared" si="10"/>
        <v>HFRXEMN Index</v>
      </c>
      <c r="F210" s="5">
        <f t="shared" si="11"/>
        <v>-4.5439463833796479E-4</v>
      </c>
    </row>
    <row r="211" spans="1:6" x14ac:dyDescent="0.35">
      <c r="A211" s="10">
        <v>45588</v>
      </c>
      <c r="B211" s="9">
        <v>-9.1991036471276055E-4</v>
      </c>
      <c r="D211" s="6" t="str">
        <f t="shared" si="9"/>
        <v>10/23/2024</v>
      </c>
      <c r="E211" s="6" t="str">
        <f t="shared" si="10"/>
        <v>HFRXEMN Index</v>
      </c>
      <c r="F211" s="5">
        <f t="shared" si="11"/>
        <v>-9.1991036471276055E-4</v>
      </c>
    </row>
    <row r="212" spans="1:6" x14ac:dyDescent="0.35">
      <c r="A212" s="8">
        <v>45589</v>
      </c>
      <c r="B212" s="7">
        <v>-7.5316979253232724E-4</v>
      </c>
      <c r="D212" s="6" t="str">
        <f t="shared" si="9"/>
        <v>10/24/2024</v>
      </c>
      <c r="E212" s="6" t="str">
        <f t="shared" si="10"/>
        <v>HFRXEMN Index</v>
      </c>
      <c r="F212" s="5">
        <f t="shared" si="11"/>
        <v>-7.5316979253232724E-4</v>
      </c>
    </row>
    <row r="213" spans="1:6" x14ac:dyDescent="0.35">
      <c r="A213" s="10">
        <v>45590</v>
      </c>
      <c r="B213" s="9">
        <v>4.8071485126110927E-4</v>
      </c>
      <c r="D213" s="6" t="str">
        <f t="shared" si="9"/>
        <v>10/25/2024</v>
      </c>
      <c r="E213" s="6" t="str">
        <f t="shared" si="10"/>
        <v>HFRXEMN Index</v>
      </c>
      <c r="F213" s="5">
        <f t="shared" si="11"/>
        <v>4.8071485126110927E-4</v>
      </c>
    </row>
    <row r="214" spans="1:6" x14ac:dyDescent="0.35">
      <c r="A214" s="8">
        <v>45593</v>
      </c>
      <c r="B214" s="7">
        <v>-2.6704377666162847E-4</v>
      </c>
      <c r="D214" s="6" t="str">
        <f t="shared" si="9"/>
        <v>10/28/2024</v>
      </c>
      <c r="E214" s="6" t="str">
        <f t="shared" si="10"/>
        <v>HFRXEMN Index</v>
      </c>
      <c r="F214" s="5">
        <f t="shared" si="11"/>
        <v>-2.6704377666162847E-4</v>
      </c>
    </row>
    <row r="215" spans="1:6" x14ac:dyDescent="0.35">
      <c r="A215" s="10">
        <v>45594</v>
      </c>
      <c r="B215" s="9">
        <v>1.2185908215739318E-4</v>
      </c>
      <c r="D215" s="6" t="str">
        <f t="shared" si="9"/>
        <v>10/29/2024</v>
      </c>
      <c r="E215" s="6" t="str">
        <f t="shared" si="10"/>
        <v>HFRXEMN Index</v>
      </c>
      <c r="F215" s="5">
        <f t="shared" si="11"/>
        <v>1.2185908215739318E-4</v>
      </c>
    </row>
    <row r="216" spans="1:6" x14ac:dyDescent="0.35">
      <c r="A216" s="8">
        <v>45595</v>
      </c>
      <c r="B216" s="7">
        <v>-2.3647528998928203E-3</v>
      </c>
      <c r="D216" s="6" t="str">
        <f t="shared" si="9"/>
        <v>10/30/2024</v>
      </c>
      <c r="E216" s="6" t="str">
        <f t="shared" si="10"/>
        <v>HFRXEMN Index</v>
      </c>
      <c r="F216" s="5">
        <f t="shared" si="11"/>
        <v>-2.3647528998928203E-3</v>
      </c>
    </row>
    <row r="217" spans="1:6" x14ac:dyDescent="0.35">
      <c r="A217" s="10">
        <v>45596</v>
      </c>
      <c r="B217" s="9">
        <v>9.3700475048701408E-4</v>
      </c>
      <c r="D217" s="6" t="str">
        <f t="shared" si="9"/>
        <v>10/31/2024</v>
      </c>
      <c r="E217" s="6" t="str">
        <f t="shared" si="10"/>
        <v>HFRXEMN Index</v>
      </c>
      <c r="F217" s="5">
        <f t="shared" si="11"/>
        <v>9.3700475048701408E-4</v>
      </c>
    </row>
    <row r="218" spans="1:6" x14ac:dyDescent="0.35">
      <c r="A218" s="8">
        <v>45597</v>
      </c>
      <c r="B218" s="7">
        <v>-1.2104256696143223E-3</v>
      </c>
      <c r="D218" s="6" t="str">
        <f t="shared" si="9"/>
        <v>11/01/2024</v>
      </c>
      <c r="E218" s="6" t="str">
        <f t="shared" si="10"/>
        <v>HFRXEMN Index</v>
      </c>
      <c r="F218" s="5">
        <f t="shared" si="11"/>
        <v>-1.2104256696143223E-3</v>
      </c>
    </row>
    <row r="219" spans="1:6" x14ac:dyDescent="0.35">
      <c r="A219" s="10">
        <v>45600</v>
      </c>
      <c r="B219" s="9">
        <v>-1.1122046378347326E-3</v>
      </c>
      <c r="D219" s="6" t="str">
        <f t="shared" si="9"/>
        <v>11/04/2024</v>
      </c>
      <c r="E219" s="6" t="str">
        <f t="shared" si="10"/>
        <v>HFRXEMN Index</v>
      </c>
      <c r="F219" s="5">
        <f t="shared" si="11"/>
        <v>-1.1122046378347326E-3</v>
      </c>
    </row>
    <row r="220" spans="1:6" x14ac:dyDescent="0.35">
      <c r="A220" s="8">
        <v>45601</v>
      </c>
      <c r="B220" s="7">
        <v>7.9252095043814584E-4</v>
      </c>
      <c r="D220" s="6" t="str">
        <f t="shared" si="9"/>
        <v>11/05/2024</v>
      </c>
      <c r="E220" s="6" t="str">
        <f t="shared" si="10"/>
        <v>HFRXEMN Index</v>
      </c>
      <c r="F220" s="5">
        <f t="shared" si="11"/>
        <v>7.9252095043814584E-4</v>
      </c>
    </row>
    <row r="221" spans="1:6" x14ac:dyDescent="0.35">
      <c r="A221" s="10">
        <v>45602</v>
      </c>
      <c r="B221" s="9">
        <v>4.8589012235241476E-3</v>
      </c>
      <c r="D221" s="6" t="str">
        <f t="shared" si="9"/>
        <v>11/06/2024</v>
      </c>
      <c r="E221" s="6" t="str">
        <f t="shared" si="10"/>
        <v>HFRXEMN Index</v>
      </c>
      <c r="F221" s="5">
        <f t="shared" si="11"/>
        <v>4.8589012235241476E-3</v>
      </c>
    </row>
    <row r="222" spans="1:6" x14ac:dyDescent="0.35">
      <c r="A222" s="8">
        <v>45603</v>
      </c>
      <c r="B222" s="7">
        <v>3.4538617579671658E-4</v>
      </c>
      <c r="D222" s="6" t="str">
        <f t="shared" si="9"/>
        <v>11/07/2024</v>
      </c>
      <c r="E222" s="6" t="str">
        <f t="shared" si="10"/>
        <v>HFRXEMN Index</v>
      </c>
      <c r="F222" s="5">
        <f t="shared" si="11"/>
        <v>3.4538617579671658E-4</v>
      </c>
    </row>
    <row r="223" spans="1:6" x14ac:dyDescent="0.35">
      <c r="A223" s="10">
        <v>45604</v>
      </c>
      <c r="B223" s="9">
        <v>1.5454342096304591E-3</v>
      </c>
      <c r="D223" s="6" t="str">
        <f t="shared" si="9"/>
        <v>11/08/2024</v>
      </c>
      <c r="E223" s="6" t="str">
        <f t="shared" si="10"/>
        <v>HFRXEMN Index</v>
      </c>
      <c r="F223" s="5">
        <f t="shared" si="11"/>
        <v>1.5454342096304591E-3</v>
      </c>
    </row>
    <row r="224" spans="1:6" x14ac:dyDescent="0.35">
      <c r="A224" s="8">
        <v>45607</v>
      </c>
      <c r="B224" s="7">
        <v>2.2237781116146458E-4</v>
      </c>
      <c r="D224" s="6" t="str">
        <f t="shared" si="9"/>
        <v>11/11/2024</v>
      </c>
      <c r="E224" s="6" t="str">
        <f t="shared" si="10"/>
        <v>HFRXEMN Index</v>
      </c>
      <c r="F224" s="5">
        <f t="shared" si="11"/>
        <v>2.2237781116146458E-4</v>
      </c>
    </row>
    <row r="225" spans="1:6" x14ac:dyDescent="0.35">
      <c r="A225" s="10">
        <v>45608</v>
      </c>
      <c r="B225" s="9">
        <v>-1.8252285419143436E-3</v>
      </c>
      <c r="D225" s="6" t="str">
        <f t="shared" si="9"/>
        <v>11/12/2024</v>
      </c>
      <c r="E225" s="6" t="str">
        <f t="shared" si="10"/>
        <v>HFRXEMN Index</v>
      </c>
      <c r="F225" s="5">
        <f t="shared" si="11"/>
        <v>-1.8252285419143436E-3</v>
      </c>
    </row>
    <row r="226" spans="1:6" x14ac:dyDescent="0.35">
      <c r="A226" s="8">
        <v>45609</v>
      </c>
      <c r="B226" s="7">
        <v>1.683642503657127E-3</v>
      </c>
      <c r="D226" s="6" t="str">
        <f t="shared" si="9"/>
        <v>11/13/2024</v>
      </c>
      <c r="E226" s="6" t="str">
        <f t="shared" si="10"/>
        <v>HFRXEMN Index</v>
      </c>
      <c r="F226" s="5">
        <f t="shared" si="11"/>
        <v>1.683642503657127E-3</v>
      </c>
    </row>
    <row r="227" spans="1:6" x14ac:dyDescent="0.35">
      <c r="A227" s="10">
        <v>45610</v>
      </c>
      <c r="B227" s="9">
        <v>2.7673691252888197E-4</v>
      </c>
      <c r="D227" s="6" t="str">
        <f t="shared" si="9"/>
        <v>11/14/2024</v>
      </c>
      <c r="E227" s="6" t="str">
        <f t="shared" si="10"/>
        <v>HFRXEMN Index</v>
      </c>
      <c r="F227" s="5">
        <f t="shared" si="11"/>
        <v>2.7673691252888197E-4</v>
      </c>
    </row>
    <row r="228" spans="1:6" x14ac:dyDescent="0.35">
      <c r="A228" s="8">
        <v>45611</v>
      </c>
      <c r="B228" s="7">
        <v>-1.1813882331014869E-3</v>
      </c>
      <c r="D228" s="6" t="str">
        <f t="shared" si="9"/>
        <v>11/15/2024</v>
      </c>
      <c r="E228" s="6" t="str">
        <f t="shared" si="10"/>
        <v>HFRXEMN Index</v>
      </c>
      <c r="F228" s="5">
        <f t="shared" si="11"/>
        <v>-1.1813882331014869E-3</v>
      </c>
    </row>
    <row r="229" spans="1:6" x14ac:dyDescent="0.35">
      <c r="A229" s="10">
        <v>45614</v>
      </c>
      <c r="B229" s="9">
        <v>7.9597483592148662E-4</v>
      </c>
      <c r="D229" s="6" t="str">
        <f t="shared" si="9"/>
        <v>11/18/2024</v>
      </c>
      <c r="E229" s="6" t="str">
        <f t="shared" si="10"/>
        <v>HFRXEMN Index</v>
      </c>
      <c r="F229" s="5">
        <f t="shared" si="11"/>
        <v>7.9597483592148662E-4</v>
      </c>
    </row>
    <row r="230" spans="1:6" x14ac:dyDescent="0.35">
      <c r="A230" s="8">
        <v>45615</v>
      </c>
      <c r="B230" s="7">
        <v>9.681999250299039E-4</v>
      </c>
      <c r="D230" s="6" t="str">
        <f t="shared" si="9"/>
        <v>11/19/2024</v>
      </c>
      <c r="E230" s="6" t="str">
        <f t="shared" si="10"/>
        <v>HFRXEMN Index</v>
      </c>
      <c r="F230" s="5">
        <f t="shared" si="11"/>
        <v>9.681999250299039E-4</v>
      </c>
    </row>
    <row r="231" spans="1:6" x14ac:dyDescent="0.35">
      <c r="A231" s="10">
        <v>45616</v>
      </c>
      <c r="B231" s="9">
        <v>-1.746313096473479E-4</v>
      </c>
      <c r="D231" s="6" t="str">
        <f t="shared" si="9"/>
        <v>11/20/2024</v>
      </c>
      <c r="E231" s="6" t="str">
        <f t="shared" si="10"/>
        <v>HFRXEMN Index</v>
      </c>
      <c r="F231" s="5">
        <f t="shared" si="11"/>
        <v>-1.746313096473479E-4</v>
      </c>
    </row>
    <row r="232" spans="1:6" x14ac:dyDescent="0.35">
      <c r="A232" s="8">
        <v>45617</v>
      </c>
      <c r="B232" s="7">
        <v>2.8110848148050474E-3</v>
      </c>
      <c r="D232" s="6" t="str">
        <f t="shared" si="9"/>
        <v>11/21/2024</v>
      </c>
      <c r="E232" s="6" t="str">
        <f t="shared" si="10"/>
        <v>HFRXEMN Index</v>
      </c>
      <c r="F232" s="5">
        <f t="shared" si="11"/>
        <v>2.8110848148050474E-3</v>
      </c>
    </row>
    <row r="233" spans="1:6" x14ac:dyDescent="0.35">
      <c r="A233" s="10">
        <v>45618</v>
      </c>
      <c r="B233" s="9">
        <v>3.0189847696079008E-4</v>
      </c>
      <c r="D233" s="6" t="str">
        <f t="shared" si="9"/>
        <v>11/22/2024</v>
      </c>
      <c r="E233" s="6" t="str">
        <f t="shared" si="10"/>
        <v>HFRXEMN Index</v>
      </c>
      <c r="F233" s="5">
        <f t="shared" si="11"/>
        <v>3.0189847696079008E-4</v>
      </c>
    </row>
    <row r="234" spans="1:6" x14ac:dyDescent="0.35">
      <c r="A234" s="8">
        <v>45621</v>
      </c>
      <c r="B234" s="7">
        <v>9.8280858835417912E-4</v>
      </c>
      <c r="D234" s="6" t="str">
        <f t="shared" si="9"/>
        <v>11/25/2024</v>
      </c>
      <c r="E234" s="6" t="str">
        <f t="shared" si="10"/>
        <v>HFRXEMN Index</v>
      </c>
      <c r="F234" s="5">
        <f t="shared" si="11"/>
        <v>9.8280858835417912E-4</v>
      </c>
    </row>
    <row r="235" spans="1:6" x14ac:dyDescent="0.35">
      <c r="A235" s="10">
        <v>45622</v>
      </c>
      <c r="B235" s="9">
        <v>5.0155200872063212E-4</v>
      </c>
      <c r="D235" s="6" t="str">
        <f t="shared" si="9"/>
        <v>11/26/2024</v>
      </c>
      <c r="E235" s="6" t="str">
        <f t="shared" si="10"/>
        <v>HFRXEMN Index</v>
      </c>
      <c r="F235" s="5">
        <f t="shared" si="11"/>
        <v>5.0155200872063212E-4</v>
      </c>
    </row>
    <row r="236" spans="1:6" x14ac:dyDescent="0.35">
      <c r="A236" s="8">
        <v>45623</v>
      </c>
      <c r="B236" s="7">
        <v>-1.7907731716293252E-3</v>
      </c>
      <c r="D236" s="6" t="str">
        <f t="shared" si="9"/>
        <v>11/27/2024</v>
      </c>
      <c r="E236" s="6" t="str">
        <f t="shared" si="10"/>
        <v>HFRXEMN Index</v>
      </c>
      <c r="F236" s="5">
        <f t="shared" si="11"/>
        <v>-1.7907731716293252E-3</v>
      </c>
    </row>
    <row r="237" spans="1:6" x14ac:dyDescent="0.35">
      <c r="A237" s="10">
        <v>45624</v>
      </c>
      <c r="B237" s="9">
        <v>5.5348429004523319E-4</v>
      </c>
      <c r="D237" s="6" t="str">
        <f t="shared" si="9"/>
        <v>11/28/2024</v>
      </c>
      <c r="E237" s="6" t="str">
        <f t="shared" si="10"/>
        <v>HFRXEMN Index</v>
      </c>
      <c r="F237" s="5">
        <f t="shared" si="11"/>
        <v>5.5348429004523319E-4</v>
      </c>
    </row>
    <row r="238" spans="1:6" x14ac:dyDescent="0.35">
      <c r="A238" s="8">
        <v>45625</v>
      </c>
      <c r="B238" s="7">
        <v>1.0744421072990268E-3</v>
      </c>
      <c r="D238" s="6" t="str">
        <f t="shared" si="9"/>
        <v>11/29/2024</v>
      </c>
      <c r="E238" s="6" t="str">
        <f t="shared" si="10"/>
        <v>HFRXEMN Index</v>
      </c>
      <c r="F238" s="5">
        <f t="shared" si="11"/>
        <v>1.0744421072990268E-3</v>
      </c>
    </row>
    <row r="239" spans="1:6" x14ac:dyDescent="0.35">
      <c r="A239" s="10">
        <v>45628</v>
      </c>
      <c r="B239" s="9">
        <v>-9.3417676517855712E-4</v>
      </c>
      <c r="D239" s="6" t="str">
        <f t="shared" si="9"/>
        <v>12/02/2024</v>
      </c>
      <c r="E239" s="6" t="str">
        <f t="shared" si="10"/>
        <v>HFRXEMN Index</v>
      </c>
      <c r="F239" s="5">
        <f t="shared" si="11"/>
        <v>-9.3417676517855712E-4</v>
      </c>
    </row>
    <row r="240" spans="1:6" x14ac:dyDescent="0.35">
      <c r="A240" s="8">
        <v>45629</v>
      </c>
      <c r="B240" s="7">
        <v>1.8488274160217595E-3</v>
      </c>
      <c r="D240" s="6" t="str">
        <f t="shared" si="9"/>
        <v>12/03/2024</v>
      </c>
      <c r="E240" s="6" t="str">
        <f t="shared" si="10"/>
        <v>HFRXEMN Index</v>
      </c>
      <c r="F240" s="5">
        <f t="shared" si="11"/>
        <v>1.8488274160217595E-3</v>
      </c>
    </row>
    <row r="241" spans="1:6" x14ac:dyDescent="0.35">
      <c r="A241" s="10">
        <v>45630</v>
      </c>
      <c r="B241" s="9">
        <v>1.0105387513138699E-3</v>
      </c>
      <c r="D241" s="6" t="str">
        <f t="shared" si="9"/>
        <v>12/04/2024</v>
      </c>
      <c r="E241" s="6" t="str">
        <f t="shared" si="10"/>
        <v>HFRXEMN Index</v>
      </c>
      <c r="F241" s="5">
        <f t="shared" si="11"/>
        <v>1.0105387513138699E-3</v>
      </c>
    </row>
    <row r="242" spans="1:6" x14ac:dyDescent="0.35">
      <c r="A242" s="8">
        <v>45631</v>
      </c>
      <c r="B242" s="7">
        <v>-4.9367098371651686E-4</v>
      </c>
      <c r="D242" s="6" t="str">
        <f t="shared" si="9"/>
        <v>12/05/2024</v>
      </c>
      <c r="E242" s="6" t="str">
        <f t="shared" si="10"/>
        <v>HFRXEMN Index</v>
      </c>
      <c r="F242" s="5">
        <f t="shared" si="11"/>
        <v>-4.9367098371651686E-4</v>
      </c>
    </row>
    <row r="243" spans="1:6" x14ac:dyDescent="0.35">
      <c r="A243" s="10">
        <v>45632</v>
      </c>
      <c r="B243" s="9">
        <v>1.0013351134846567E-3</v>
      </c>
      <c r="D243" s="6" t="str">
        <f t="shared" si="9"/>
        <v>12/06/2024</v>
      </c>
      <c r="E243" s="6" t="str">
        <f t="shared" si="10"/>
        <v>HFRXEMN Index</v>
      </c>
      <c r="F243" s="5">
        <f t="shared" si="11"/>
        <v>1.0013351134846567E-3</v>
      </c>
    </row>
    <row r="244" spans="1:6" x14ac:dyDescent="0.35">
      <c r="A244" s="8">
        <v>45635</v>
      </c>
      <c r="B244" s="7">
        <v>-5.3004180584340893E-5</v>
      </c>
      <c r="D244" s="6" t="str">
        <f t="shared" si="9"/>
        <v>12/09/2024</v>
      </c>
      <c r="E244" s="6" t="str">
        <f t="shared" si="10"/>
        <v>HFRXEMN Index</v>
      </c>
      <c r="F244" s="5">
        <f t="shared" si="11"/>
        <v>-5.3004180584340893E-5</v>
      </c>
    </row>
    <row r="245" spans="1:6" x14ac:dyDescent="0.35">
      <c r="A245" s="10">
        <v>45636</v>
      </c>
      <c r="B245" s="9">
        <v>1.3521601312260518E-3</v>
      </c>
      <c r="D245" s="6" t="str">
        <f t="shared" si="9"/>
        <v>12/10/2024</v>
      </c>
      <c r="E245" s="6" t="str">
        <f t="shared" si="10"/>
        <v>HFRXEMN Index</v>
      </c>
      <c r="F245" s="5">
        <f t="shared" si="11"/>
        <v>1.3521601312260518E-3</v>
      </c>
    </row>
    <row r="246" spans="1:6" x14ac:dyDescent="0.35">
      <c r="A246" s="8">
        <v>45637</v>
      </c>
      <c r="B246" s="7">
        <v>2.0298324738548638E-3</v>
      </c>
      <c r="D246" s="6" t="str">
        <f t="shared" si="9"/>
        <v>12/11/2024</v>
      </c>
      <c r="E246" s="6" t="str">
        <f t="shared" si="10"/>
        <v>HFRXEMN Index</v>
      </c>
      <c r="F246" s="5">
        <f t="shared" si="11"/>
        <v>2.0298324738548638E-3</v>
      </c>
    </row>
    <row r="247" spans="1:6" x14ac:dyDescent="0.35">
      <c r="A247" s="10">
        <v>45638</v>
      </c>
      <c r="B247" s="9">
        <v>-1.9479190979636368E-3</v>
      </c>
      <c r="D247" s="6" t="str">
        <f t="shared" si="9"/>
        <v>12/12/2024</v>
      </c>
      <c r="E247" s="6" t="str">
        <f t="shared" si="10"/>
        <v>HFRXEMN Index</v>
      </c>
      <c r="F247" s="5">
        <f t="shared" si="11"/>
        <v>-1.9479190979636368E-3</v>
      </c>
    </row>
    <row r="248" spans="1:6" x14ac:dyDescent="0.35">
      <c r="A248" s="8">
        <v>45639</v>
      </c>
      <c r="B248" s="7">
        <v>-1.5090228595790553E-3</v>
      </c>
      <c r="D248" s="6" t="str">
        <f t="shared" si="9"/>
        <v>12/13/2024</v>
      </c>
      <c r="E248" s="6" t="str">
        <f t="shared" si="10"/>
        <v>HFRXEMN Index</v>
      </c>
      <c r="F248" s="5">
        <f t="shared" si="11"/>
        <v>-1.5090228595790553E-3</v>
      </c>
    </row>
    <row r="249" spans="1:6" x14ac:dyDescent="0.35">
      <c r="A249" s="10">
        <v>45642</v>
      </c>
      <c r="B249" s="9">
        <v>1.2655238719438992E-3</v>
      </c>
      <c r="D249" s="6" t="str">
        <f t="shared" si="9"/>
        <v>12/16/2024</v>
      </c>
      <c r="E249" s="6" t="str">
        <f t="shared" si="10"/>
        <v>HFRXEMN Index</v>
      </c>
      <c r="F249" s="5">
        <f t="shared" si="11"/>
        <v>1.2655238719438992E-3</v>
      </c>
    </row>
    <row r="250" spans="1:6" x14ac:dyDescent="0.35">
      <c r="A250" s="8">
        <v>45643</v>
      </c>
      <c r="B250" s="7">
        <v>-3.1448902031905694E-3</v>
      </c>
      <c r="D250" s="6" t="str">
        <f t="shared" si="9"/>
        <v>12/17/2024</v>
      </c>
      <c r="E250" s="6" t="str">
        <f t="shared" si="10"/>
        <v>HFRXEMN Index</v>
      </c>
      <c r="F250" s="5">
        <f t="shared" si="11"/>
        <v>-3.1448902031905694E-3</v>
      </c>
    </row>
    <row r="251" spans="1:6" x14ac:dyDescent="0.35">
      <c r="A251" s="10">
        <v>45644</v>
      </c>
      <c r="B251" s="9">
        <v>-8.6619716269725744E-4</v>
      </c>
      <c r="D251" s="6" t="str">
        <f t="shared" si="9"/>
        <v>12/18/2024</v>
      </c>
      <c r="E251" s="6" t="str">
        <f t="shared" si="10"/>
        <v>HFRXEMN Index</v>
      </c>
      <c r="F251" s="5">
        <f t="shared" si="11"/>
        <v>-8.6619716269725744E-4</v>
      </c>
    </row>
    <row r="252" spans="1:6" x14ac:dyDescent="0.35">
      <c r="A252" s="8">
        <v>45645</v>
      </c>
      <c r="B252" s="7">
        <v>1.9716545661195413E-4</v>
      </c>
      <c r="D252" s="6" t="str">
        <f t="shared" si="9"/>
        <v>12/19/2024</v>
      </c>
      <c r="E252" s="6" t="str">
        <f t="shared" si="10"/>
        <v>HFRXEMN Index</v>
      </c>
      <c r="F252" s="5">
        <f t="shared" si="11"/>
        <v>1.9716545661195413E-4</v>
      </c>
    </row>
    <row r="253" spans="1:6" x14ac:dyDescent="0.35">
      <c r="A253" s="10">
        <v>45646</v>
      </c>
      <c r="B253" s="9">
        <v>3.5560090755551969E-4</v>
      </c>
      <c r="D253" s="6" t="str">
        <f t="shared" si="9"/>
        <v>12/20/2024</v>
      </c>
      <c r="E253" s="6" t="str">
        <f t="shared" si="10"/>
        <v>HFRXEMN Index</v>
      </c>
      <c r="F253" s="5">
        <f t="shared" si="11"/>
        <v>3.5560090755551969E-4</v>
      </c>
    </row>
    <row r="254" spans="1:6" x14ac:dyDescent="0.35">
      <c r="A254" s="8">
        <v>45649</v>
      </c>
      <c r="B254" s="7">
        <v>5.1196055778583108E-4</v>
      </c>
      <c r="D254" s="6" t="str">
        <f t="shared" si="9"/>
        <v>12/23/2024</v>
      </c>
      <c r="E254" s="6" t="str">
        <f t="shared" si="10"/>
        <v>HFRXEMN Index</v>
      </c>
      <c r="F254" s="5">
        <f t="shared" si="11"/>
        <v>5.1196055778583108E-4</v>
      </c>
    </row>
    <row r="255" spans="1:6" x14ac:dyDescent="0.35">
      <c r="A255" s="10">
        <v>45650</v>
      </c>
      <c r="B255" s="9">
        <v>-2.8674430324998645E-4</v>
      </c>
      <c r="D255" s="6" t="str">
        <f t="shared" si="9"/>
        <v>12/24/2024</v>
      </c>
      <c r="E255" s="6" t="str">
        <f t="shared" si="10"/>
        <v>HFRXEMN Index</v>
      </c>
      <c r="F255" s="5">
        <f t="shared" si="11"/>
        <v>-2.8674430324998645E-4</v>
      </c>
    </row>
    <row r="256" spans="1:6" x14ac:dyDescent="0.35">
      <c r="A256" s="8">
        <v>45653</v>
      </c>
      <c r="B256" s="7">
        <v>-2.7716908956234763E-4</v>
      </c>
      <c r="D256" s="6" t="str">
        <f t="shared" si="9"/>
        <v>12/27/2024</v>
      </c>
      <c r="E256" s="6" t="str">
        <f t="shared" si="10"/>
        <v>HFRXEMN Index</v>
      </c>
      <c r="F256" s="5">
        <f t="shared" si="11"/>
        <v>-2.7716908956234763E-4</v>
      </c>
    </row>
    <row r="257" spans="1:6" x14ac:dyDescent="0.35">
      <c r="A257" s="10">
        <v>45656</v>
      </c>
      <c r="B257" s="9">
        <v>-1.7388246704450391E-4</v>
      </c>
      <c r="D257" s="6" t="str">
        <f t="shared" si="9"/>
        <v>12/30/2024</v>
      </c>
      <c r="E257" s="6" t="str">
        <f t="shared" si="10"/>
        <v>HFRXEMN Index</v>
      </c>
      <c r="F257" s="5">
        <f t="shared" si="11"/>
        <v>-1.7388246704450391E-4</v>
      </c>
    </row>
    <row r="258" spans="1:6" x14ac:dyDescent="0.35">
      <c r="A258" s="8">
        <v>45657</v>
      </c>
      <c r="B258" s="7">
        <v>-1.2850216714560764E-4</v>
      </c>
      <c r="D258" s="6" t="str">
        <f t="shared" si="9"/>
        <v>12/31/2024</v>
      </c>
      <c r="E258" s="6" t="str">
        <f t="shared" si="10"/>
        <v>HFRXEMN Index</v>
      </c>
      <c r="F258" s="5">
        <f t="shared" si="11"/>
        <v>-1.2850216714560764E-4</v>
      </c>
    </row>
    <row r="259" spans="1:6" x14ac:dyDescent="0.35">
      <c r="A259" s="10">
        <v>45659</v>
      </c>
      <c r="B259" s="9">
        <v>1.3740869617314129E-3</v>
      </c>
      <c r="D259" s="6" t="str">
        <f t="shared" ref="D259:D280" si="12">IF(A259 =  "", "",  TEXT(A259, "mm/dd/yyyy"))</f>
        <v>01/02/2025</v>
      </c>
      <c r="E259" s="6" t="str">
        <f t="shared" ref="E259:E280" si="13">IF(A259="", "", EntityLocal)</f>
        <v>HFRXEMN Index</v>
      </c>
      <c r="F259" s="5">
        <f t="shared" ref="F259:F280" si="14">IF(B259="","", B259)</f>
        <v>1.3740869617314129E-3</v>
      </c>
    </row>
    <row r="260" spans="1:6" x14ac:dyDescent="0.35">
      <c r="A260" s="8">
        <v>45660</v>
      </c>
      <c r="B260" s="7">
        <v>1.6009016772316903E-3</v>
      </c>
      <c r="D260" s="6" t="str">
        <f t="shared" si="12"/>
        <v>01/03/2025</v>
      </c>
      <c r="E260" s="6" t="str">
        <f t="shared" si="13"/>
        <v>HFRXEMN Index</v>
      </c>
      <c r="F260" s="5">
        <f t="shared" si="14"/>
        <v>1.6009016772316903E-3</v>
      </c>
    </row>
    <row r="261" spans="1:6" x14ac:dyDescent="0.35">
      <c r="A261" s="10">
        <v>45663</v>
      </c>
      <c r="B261" s="9">
        <v>3.4105689098708208E-4</v>
      </c>
      <c r="D261" s="6" t="str">
        <f t="shared" si="12"/>
        <v>01/06/2025</v>
      </c>
      <c r="E261" s="6" t="str">
        <f t="shared" si="13"/>
        <v>HFRXEMN Index</v>
      </c>
      <c r="F261" s="5">
        <f t="shared" si="14"/>
        <v>3.4105689098708208E-4</v>
      </c>
    </row>
    <row r="262" spans="1:6" x14ac:dyDescent="0.35">
      <c r="A262" s="8">
        <v>45664</v>
      </c>
      <c r="B262" s="7">
        <v>-8.3405245477238409E-4</v>
      </c>
      <c r="D262" s="6" t="str">
        <f t="shared" si="12"/>
        <v>01/07/2025</v>
      </c>
      <c r="E262" s="6" t="str">
        <f t="shared" si="13"/>
        <v>HFRXEMN Index</v>
      </c>
      <c r="F262" s="5">
        <f t="shared" si="14"/>
        <v>-8.3405245477238409E-4</v>
      </c>
    </row>
    <row r="263" spans="1:6" x14ac:dyDescent="0.35">
      <c r="A263" s="10">
        <v>45665</v>
      </c>
      <c r="B263" s="9">
        <v>1.6897395314225323E-3</v>
      </c>
      <c r="D263" s="6" t="str">
        <f t="shared" si="12"/>
        <v>01/08/2025</v>
      </c>
      <c r="E263" s="6" t="str">
        <f t="shared" si="13"/>
        <v>HFRXEMN Index</v>
      </c>
      <c r="F263" s="5">
        <f t="shared" si="14"/>
        <v>1.6897395314225323E-3</v>
      </c>
    </row>
    <row r="264" spans="1:6" x14ac:dyDescent="0.35">
      <c r="A264" s="8">
        <v>45666</v>
      </c>
      <c r="B264" s="7">
        <v>6.8707292499640754E-4</v>
      </c>
      <c r="D264" s="6" t="str">
        <f t="shared" si="12"/>
        <v>01/09/2025</v>
      </c>
      <c r="E264" s="6" t="str">
        <f t="shared" si="13"/>
        <v>HFRXEMN Index</v>
      </c>
      <c r="F264" s="5">
        <f t="shared" si="14"/>
        <v>6.8707292499640754E-4</v>
      </c>
    </row>
    <row r="265" spans="1:6" x14ac:dyDescent="0.35">
      <c r="A265" s="10">
        <v>45667</v>
      </c>
      <c r="B265" s="9">
        <v>1.1828003519552442E-3</v>
      </c>
      <c r="D265" s="6" t="str">
        <f t="shared" si="12"/>
        <v>01/10/2025</v>
      </c>
      <c r="E265" s="6" t="str">
        <f t="shared" si="13"/>
        <v>HFRXEMN Index</v>
      </c>
      <c r="F265" s="5">
        <f t="shared" si="14"/>
        <v>1.1828003519552442E-3</v>
      </c>
    </row>
    <row r="266" spans="1:6" x14ac:dyDescent="0.35">
      <c r="A266" s="8">
        <v>45670</v>
      </c>
      <c r="B266" s="7">
        <v>-1.7692230114251257E-3</v>
      </c>
      <c r="D266" s="6" t="str">
        <f t="shared" si="12"/>
        <v>01/13/2025</v>
      </c>
      <c r="E266" s="6" t="str">
        <f t="shared" si="13"/>
        <v>HFRXEMN Index</v>
      </c>
      <c r="F266" s="5">
        <f t="shared" si="14"/>
        <v>-1.7692230114251257E-3</v>
      </c>
    </row>
    <row r="267" spans="1:6" x14ac:dyDescent="0.35">
      <c r="A267" s="10">
        <v>45671</v>
      </c>
      <c r="B267" s="9">
        <v>6.8700549315753041E-4</v>
      </c>
      <c r="D267" s="6" t="str">
        <f t="shared" si="12"/>
        <v>01/14/2025</v>
      </c>
      <c r="E267" s="6" t="str">
        <f t="shared" si="13"/>
        <v>HFRXEMN Index</v>
      </c>
      <c r="F267" s="5">
        <f t="shared" si="14"/>
        <v>6.8700549315753041E-4</v>
      </c>
    </row>
    <row r="268" spans="1:6" x14ac:dyDescent="0.35">
      <c r="A268" s="8">
        <v>45672</v>
      </c>
      <c r="B268" s="7">
        <v>2.2096005123042458E-3</v>
      </c>
      <c r="D268" s="6" t="str">
        <f t="shared" si="12"/>
        <v>01/15/2025</v>
      </c>
      <c r="E268" s="6" t="str">
        <f t="shared" si="13"/>
        <v>HFRXEMN Index</v>
      </c>
      <c r="F268" s="5">
        <f t="shared" si="14"/>
        <v>2.2096005123042458E-3</v>
      </c>
    </row>
    <row r="269" spans="1:6" x14ac:dyDescent="0.35">
      <c r="A269" s="10">
        <v>45673</v>
      </c>
      <c r="B269" s="9">
        <v>7.224372904283574E-4</v>
      </c>
      <c r="D269" s="6" t="str">
        <f t="shared" si="12"/>
        <v>01/16/2025</v>
      </c>
      <c r="E269" s="6" t="str">
        <f t="shared" si="13"/>
        <v>HFRXEMN Index</v>
      </c>
      <c r="F269" s="5">
        <f t="shared" si="14"/>
        <v>7.224372904283574E-4</v>
      </c>
    </row>
    <row r="270" spans="1:6" x14ac:dyDescent="0.35">
      <c r="A270" s="8">
        <v>45674</v>
      </c>
      <c r="B270" s="7">
        <v>4.5347430344233624E-4</v>
      </c>
      <c r="D270" s="6" t="str">
        <f t="shared" si="12"/>
        <v>01/17/2025</v>
      </c>
      <c r="E270" s="6" t="str">
        <f t="shared" si="13"/>
        <v>HFRXEMN Index</v>
      </c>
      <c r="F270" s="5">
        <f t="shared" si="14"/>
        <v>4.5347430344233624E-4</v>
      </c>
    </row>
    <row r="271" spans="1:6" x14ac:dyDescent="0.35">
      <c r="A271" s="10">
        <v>45677</v>
      </c>
      <c r="B271" s="9">
        <v>7.9441818211433194E-4</v>
      </c>
      <c r="D271" s="6" t="str">
        <f t="shared" si="12"/>
        <v>01/20/2025</v>
      </c>
      <c r="E271" s="6" t="str">
        <f t="shared" si="13"/>
        <v>HFRXEMN Index</v>
      </c>
      <c r="F271" s="5">
        <f t="shared" si="14"/>
        <v>7.9441818211433194E-4</v>
      </c>
    </row>
    <row r="272" spans="1:6" x14ac:dyDescent="0.35">
      <c r="A272" s="8">
        <v>45678</v>
      </c>
      <c r="B272" s="7">
        <v>9.0294534451741855E-4</v>
      </c>
      <c r="D272" s="6" t="str">
        <f t="shared" si="12"/>
        <v>01/21/2025</v>
      </c>
      <c r="E272" s="6" t="str">
        <f t="shared" si="13"/>
        <v>HFRXEMN Index</v>
      </c>
      <c r="F272" s="5">
        <f t="shared" si="14"/>
        <v>9.0294534451741855E-4</v>
      </c>
    </row>
    <row r="273" spans="1:6" x14ac:dyDescent="0.35">
      <c r="A273" s="10">
        <v>45679</v>
      </c>
      <c r="B273" s="9">
        <v>-9.1648067593806161E-4</v>
      </c>
      <c r="D273" s="6" t="str">
        <f t="shared" si="12"/>
        <v>01/22/2025</v>
      </c>
      <c r="E273" s="6" t="str">
        <f t="shared" si="13"/>
        <v>HFRXEMN Index</v>
      </c>
      <c r="F273" s="5">
        <f t="shared" si="14"/>
        <v>-9.1648067593806161E-4</v>
      </c>
    </row>
    <row r="274" spans="1:6" x14ac:dyDescent="0.35">
      <c r="A274" s="8">
        <v>45680</v>
      </c>
      <c r="B274" s="7">
        <v>-5.2473081213583802E-4</v>
      </c>
      <c r="D274" s="6" t="str">
        <f t="shared" si="12"/>
        <v>01/23/2025</v>
      </c>
      <c r="E274" s="6" t="str">
        <f t="shared" si="13"/>
        <v>HFRXEMN Index</v>
      </c>
      <c r="F274" s="5">
        <f t="shared" si="14"/>
        <v>-5.2473081213583802E-4</v>
      </c>
    </row>
    <row r="275" spans="1:6" x14ac:dyDescent="0.35">
      <c r="A275" s="10">
        <v>45681</v>
      </c>
      <c r="B275" s="9">
        <v>2.4525841710609005E-4</v>
      </c>
      <c r="D275" s="6" t="str">
        <f t="shared" si="12"/>
        <v>01/24/2025</v>
      </c>
      <c r="E275" s="6" t="str">
        <f t="shared" si="13"/>
        <v>HFRXEMN Index</v>
      </c>
      <c r="F275" s="5">
        <f t="shared" si="14"/>
        <v>2.4525841710609005E-4</v>
      </c>
    </row>
    <row r="276" spans="1:6" x14ac:dyDescent="0.35">
      <c r="A276" s="8">
        <v>45684</v>
      </c>
      <c r="B276" s="7">
        <v>1.3591264045023279E-3</v>
      </c>
      <c r="D276" s="6" t="str">
        <f t="shared" si="12"/>
        <v>01/27/2025</v>
      </c>
      <c r="E276" s="6" t="str">
        <f t="shared" si="13"/>
        <v>HFRXEMN Index</v>
      </c>
      <c r="F276" s="5">
        <f t="shared" si="14"/>
        <v>1.3591264045023279E-3</v>
      </c>
    </row>
    <row r="277" spans="1:6" x14ac:dyDescent="0.35">
      <c r="A277" s="10">
        <v>45685</v>
      </c>
      <c r="B277" s="9">
        <v>1.2874567659392157E-3</v>
      </c>
      <c r="D277" s="6" t="str">
        <f t="shared" si="12"/>
        <v>01/28/2025</v>
      </c>
      <c r="E277" s="6" t="str">
        <f t="shared" si="13"/>
        <v>HFRXEMN Index</v>
      </c>
      <c r="F277" s="5">
        <f t="shared" si="14"/>
        <v>1.2874567659392157E-3</v>
      </c>
    </row>
    <row r="278" spans="1:6" x14ac:dyDescent="0.35">
      <c r="A278" s="8">
        <v>45686</v>
      </c>
      <c r="B278" s="7">
        <v>8.63569407480571E-4</v>
      </c>
      <c r="D278" s="6" t="str">
        <f t="shared" si="12"/>
        <v>01/29/2025</v>
      </c>
      <c r="E278" s="6" t="str">
        <f t="shared" si="13"/>
        <v>HFRXEMN Index</v>
      </c>
      <c r="F278" s="5">
        <f t="shared" si="14"/>
        <v>8.63569407480571E-4</v>
      </c>
    </row>
    <row r="279" spans="1:6" x14ac:dyDescent="0.35">
      <c r="A279" s="10">
        <v>45687</v>
      </c>
      <c r="B279" s="9">
        <v>-4.3141214940604303E-4</v>
      </c>
      <c r="D279" s="6" t="str">
        <f t="shared" si="12"/>
        <v>01/30/2025</v>
      </c>
      <c r="E279" s="6" t="str">
        <f t="shared" si="13"/>
        <v>HFRXEMN Index</v>
      </c>
      <c r="F279" s="5">
        <f t="shared" si="14"/>
        <v>-4.3141214940604303E-4</v>
      </c>
    </row>
    <row r="280" spans="1:6" x14ac:dyDescent="0.35">
      <c r="A280" s="8">
        <v>45688</v>
      </c>
      <c r="B280" s="7">
        <v>6.2448079291872814E-4</v>
      </c>
      <c r="D280" s="6" t="str">
        <f t="shared" si="12"/>
        <v>01/31/2025</v>
      </c>
      <c r="E280" s="6" t="str">
        <f t="shared" si="13"/>
        <v>HFRXEMN Index</v>
      </c>
      <c r="F280" s="5">
        <f t="shared" si="14"/>
        <v>6.2448079291872814E-4</v>
      </c>
    </row>
    <row r="281" spans="1:6" x14ac:dyDescent="0.35">
      <c r="A281" s="10">
        <v>45691</v>
      </c>
      <c r="B281" s="9">
        <v>-1.0248834839168385E-3</v>
      </c>
      <c r="D281" s="6" t="str">
        <f t="shared" ref="D281:D300" si="15">IF(A281 =  "", "",  TEXT(A281, "mm/dd/yyyy"))</f>
        <v>02/03/2025</v>
      </c>
      <c r="E281" s="6" t="str">
        <f t="shared" ref="E281:E300" si="16">IF(A281="", "", EntityLocal)</f>
        <v>HFRXEMN Index</v>
      </c>
      <c r="F281" s="5">
        <f t="shared" ref="F281:F300" si="17">IF(B281="","", B281)</f>
        <v>-1.0248834839168385E-3</v>
      </c>
    </row>
    <row r="282" spans="1:6" x14ac:dyDescent="0.35">
      <c r="A282" s="8">
        <v>45692</v>
      </c>
      <c r="B282" s="7">
        <v>1.7481014471988868E-3</v>
      </c>
      <c r="D282" s="6" t="str">
        <f t="shared" si="15"/>
        <v>02/04/2025</v>
      </c>
      <c r="E282" s="6" t="str">
        <f t="shared" si="16"/>
        <v>HFRXEMN Index</v>
      </c>
      <c r="F282" s="5">
        <f t="shared" si="17"/>
        <v>1.7481014471988868E-3</v>
      </c>
    </row>
    <row r="283" spans="1:6" x14ac:dyDescent="0.35">
      <c r="A283" s="10">
        <v>45693</v>
      </c>
      <c r="B283" s="9">
        <v>3.8238547507327299E-4</v>
      </c>
      <c r="D283" s="6" t="str">
        <f t="shared" si="15"/>
        <v>02/05/2025</v>
      </c>
      <c r="E283" s="6" t="str">
        <f t="shared" si="16"/>
        <v>HFRXEMN Index</v>
      </c>
      <c r="F283" s="5">
        <f t="shared" si="17"/>
        <v>3.8238547507327299E-4</v>
      </c>
    </row>
    <row r="284" spans="1:6" x14ac:dyDescent="0.35">
      <c r="A284" s="8">
        <v>45694</v>
      </c>
      <c r="B284" s="7"/>
      <c r="D284" s="6" t="str">
        <f t="shared" si="15"/>
        <v>02/06/2025</v>
      </c>
      <c r="E284" s="6" t="str">
        <f t="shared" si="16"/>
        <v>HFRXEMN Index</v>
      </c>
      <c r="F284" s="5" t="str">
        <f t="shared" si="17"/>
        <v/>
      </c>
    </row>
    <row r="285" spans="1:6" x14ac:dyDescent="0.35">
      <c r="A285" s="10"/>
      <c r="B285" s="9"/>
      <c r="D285" s="6" t="str">
        <f t="shared" si="15"/>
        <v/>
      </c>
      <c r="E285" s="6" t="str">
        <f t="shared" si="16"/>
        <v/>
      </c>
      <c r="F285" s="5" t="str">
        <f t="shared" si="17"/>
        <v/>
      </c>
    </row>
    <row r="286" spans="1:6" x14ac:dyDescent="0.35">
      <c r="A286" s="8"/>
      <c r="B286" s="7"/>
      <c r="D286" s="6" t="str">
        <f t="shared" si="15"/>
        <v/>
      </c>
      <c r="E286" s="6" t="str">
        <f t="shared" si="16"/>
        <v/>
      </c>
      <c r="F286" s="5" t="str">
        <f t="shared" si="17"/>
        <v/>
      </c>
    </row>
    <row r="287" spans="1:6" x14ac:dyDescent="0.35">
      <c r="A287" s="10"/>
      <c r="B287" s="9"/>
      <c r="D287" s="6" t="str">
        <f t="shared" si="15"/>
        <v/>
      </c>
      <c r="E287" s="6" t="str">
        <f t="shared" si="16"/>
        <v/>
      </c>
      <c r="F287" s="5" t="str">
        <f t="shared" si="17"/>
        <v/>
      </c>
    </row>
    <row r="288" spans="1:6" x14ac:dyDescent="0.35">
      <c r="A288" s="8"/>
      <c r="B288" s="7"/>
      <c r="D288" s="6" t="str">
        <f t="shared" si="15"/>
        <v/>
      </c>
      <c r="E288" s="6" t="str">
        <f t="shared" si="16"/>
        <v/>
      </c>
      <c r="F288" s="5" t="str">
        <f t="shared" si="17"/>
        <v/>
      </c>
    </row>
    <row r="289" spans="1:6" x14ac:dyDescent="0.35">
      <c r="A289" s="10"/>
      <c r="B289" s="9"/>
      <c r="D289" s="6" t="str">
        <f t="shared" si="15"/>
        <v/>
      </c>
      <c r="E289" s="6" t="str">
        <f t="shared" si="16"/>
        <v/>
      </c>
      <c r="F289" s="5" t="str">
        <f t="shared" si="17"/>
        <v/>
      </c>
    </row>
    <row r="290" spans="1:6" x14ac:dyDescent="0.35">
      <c r="A290" s="8"/>
      <c r="B290" s="7"/>
      <c r="D290" s="6" t="str">
        <f t="shared" si="15"/>
        <v/>
      </c>
      <c r="E290" s="6" t="str">
        <f t="shared" si="16"/>
        <v/>
      </c>
      <c r="F290" s="5" t="str">
        <f t="shared" si="17"/>
        <v/>
      </c>
    </row>
    <row r="291" spans="1:6" x14ac:dyDescent="0.35">
      <c r="A291" s="10"/>
      <c r="B291" s="9"/>
      <c r="D291" s="6" t="str">
        <f t="shared" si="15"/>
        <v/>
      </c>
      <c r="E291" s="6" t="str">
        <f t="shared" si="16"/>
        <v/>
      </c>
      <c r="F291" s="5" t="str">
        <f t="shared" si="17"/>
        <v/>
      </c>
    </row>
    <row r="292" spans="1:6" x14ac:dyDescent="0.35">
      <c r="A292" s="8"/>
      <c r="B292" s="7"/>
      <c r="D292" s="6" t="str">
        <f t="shared" si="15"/>
        <v/>
      </c>
      <c r="E292" s="6" t="str">
        <f t="shared" si="16"/>
        <v/>
      </c>
      <c r="F292" s="5" t="str">
        <f t="shared" si="17"/>
        <v/>
      </c>
    </row>
    <row r="293" spans="1:6" x14ac:dyDescent="0.35">
      <c r="A293" s="10"/>
      <c r="B293" s="9"/>
      <c r="D293" s="6" t="str">
        <f t="shared" si="15"/>
        <v/>
      </c>
      <c r="E293" s="6" t="str">
        <f t="shared" si="16"/>
        <v/>
      </c>
      <c r="F293" s="5" t="str">
        <f t="shared" si="17"/>
        <v/>
      </c>
    </row>
    <row r="294" spans="1:6" x14ac:dyDescent="0.35">
      <c r="A294" s="8"/>
      <c r="B294" s="7"/>
      <c r="D294" s="6" t="str">
        <f t="shared" si="15"/>
        <v/>
      </c>
      <c r="E294" s="6" t="str">
        <f t="shared" si="16"/>
        <v/>
      </c>
      <c r="F294" s="5" t="str">
        <f t="shared" si="17"/>
        <v/>
      </c>
    </row>
    <row r="295" spans="1:6" x14ac:dyDescent="0.35">
      <c r="A295" s="10"/>
      <c r="B295" s="9"/>
      <c r="D295" s="6" t="str">
        <f t="shared" si="15"/>
        <v/>
      </c>
      <c r="E295" s="6" t="str">
        <f t="shared" si="16"/>
        <v/>
      </c>
      <c r="F295" s="5" t="str">
        <f t="shared" si="17"/>
        <v/>
      </c>
    </row>
    <row r="296" spans="1:6" x14ac:dyDescent="0.35">
      <c r="A296" s="8"/>
      <c r="B296" s="7"/>
      <c r="D296" s="6" t="str">
        <f t="shared" si="15"/>
        <v/>
      </c>
      <c r="E296" s="6" t="str">
        <f t="shared" si="16"/>
        <v/>
      </c>
      <c r="F296" s="5" t="str">
        <f t="shared" si="17"/>
        <v/>
      </c>
    </row>
    <row r="297" spans="1:6" x14ac:dyDescent="0.35">
      <c r="A297" s="10"/>
      <c r="B297" s="9"/>
      <c r="D297" s="6" t="str">
        <f t="shared" si="15"/>
        <v/>
      </c>
      <c r="E297" s="6" t="str">
        <f t="shared" si="16"/>
        <v/>
      </c>
      <c r="F297" s="5" t="str">
        <f t="shared" si="17"/>
        <v/>
      </c>
    </row>
    <row r="298" spans="1:6" x14ac:dyDescent="0.35">
      <c r="A298" s="8"/>
      <c r="B298" s="7"/>
      <c r="D298" s="6" t="str">
        <f t="shared" si="15"/>
        <v/>
      </c>
      <c r="E298" s="6" t="str">
        <f t="shared" si="16"/>
        <v/>
      </c>
      <c r="F298" s="5" t="str">
        <f t="shared" si="17"/>
        <v/>
      </c>
    </row>
    <row r="299" spans="1:6" x14ac:dyDescent="0.35">
      <c r="A299" s="10"/>
      <c r="B299" s="9"/>
      <c r="D299" s="6" t="str">
        <f t="shared" si="15"/>
        <v/>
      </c>
      <c r="E299" s="6" t="str">
        <f t="shared" si="16"/>
        <v/>
      </c>
      <c r="F299" s="5" t="str">
        <f t="shared" si="17"/>
        <v/>
      </c>
    </row>
    <row r="300" spans="1:6" x14ac:dyDescent="0.35">
      <c r="A300" s="8"/>
      <c r="B300" s="7"/>
      <c r="D300" s="6" t="str">
        <f t="shared" si="15"/>
        <v/>
      </c>
      <c r="E300" s="6" t="str">
        <f t="shared" si="16"/>
        <v/>
      </c>
      <c r="F300" s="5" t="str">
        <f t="shared" si="17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D7BD-1C49-4F86-9515-515757014B94}">
  <sheetPr codeName="Sheet5"/>
  <dimension ref="A1:F280"/>
  <sheetViews>
    <sheetView showGridLines="0" zoomScale="91" zoomScaleNormal="91" workbookViewId="0">
      <pane xSplit="2" ySplit="2" topLeftCell="C232" activePane="bottomRight" state="frozen"/>
      <selection activeCell="B2" sqref="B2"/>
      <selection pane="topRight" activeCell="B2" sqref="B2"/>
      <selection pane="bottomLeft" activeCell="B2" sqref="B2"/>
      <selection pane="bottomRight" activeCell="A279" sqref="A279"/>
    </sheetView>
  </sheetViews>
  <sheetFormatPr defaultRowHeight="14.5" x14ac:dyDescent="0.35"/>
  <cols>
    <col min="1" max="1" width="17.81640625" style="4" customWidth="1"/>
    <col min="2" max="2" width="18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_xll.BQL("XBI US Equity", "dropna(day_to_day_tot_return_gross_dvds(dates=range(2024-01-01, 2025-12-31)))","cols=2;rows=279")</f>
        <v/>
      </c>
      <c r="B1" s="18" t="s">
        <v>6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1.0527494680255321E-2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XBI US Equity</v>
      </c>
      <c r="F3" s="5">
        <f t="shared" ref="F3:F66" si="2">IF(B3="","", B3)</f>
        <v>1.0527494680255321E-2</v>
      </c>
    </row>
    <row r="4" spans="1:6" x14ac:dyDescent="0.35">
      <c r="A4" s="8">
        <v>45294</v>
      </c>
      <c r="B4" s="7">
        <v>-2.2498060512024836E-2</v>
      </c>
      <c r="D4" s="6" t="str">
        <f t="shared" si="0"/>
        <v>01/03/2024</v>
      </c>
      <c r="E4" s="6" t="str">
        <f t="shared" si="1"/>
        <v>XBI US Equity</v>
      </c>
      <c r="F4" s="5">
        <f t="shared" si="2"/>
        <v>-2.2498060512024836E-2</v>
      </c>
    </row>
    <row r="5" spans="1:6" x14ac:dyDescent="0.35">
      <c r="A5" s="10">
        <v>45295</v>
      </c>
      <c r="B5" s="9">
        <v>1.4172335600907028E-2</v>
      </c>
      <c r="D5" s="6" t="str">
        <f t="shared" si="0"/>
        <v>01/04/2024</v>
      </c>
      <c r="E5" s="6" t="str">
        <f t="shared" si="1"/>
        <v>XBI US Equity</v>
      </c>
      <c r="F5" s="5">
        <f t="shared" si="2"/>
        <v>1.4172335600907028E-2</v>
      </c>
    </row>
    <row r="6" spans="1:6" x14ac:dyDescent="0.35">
      <c r="A6" s="8">
        <v>45296</v>
      </c>
      <c r="B6" s="7">
        <v>-1.6769144773617181E-3</v>
      </c>
      <c r="D6" s="6" t="str">
        <f t="shared" si="0"/>
        <v>01/05/2024</v>
      </c>
      <c r="E6" s="6" t="str">
        <f t="shared" si="1"/>
        <v>XBI US Equity</v>
      </c>
      <c r="F6" s="5">
        <f t="shared" si="2"/>
        <v>-1.6769144773617181E-3</v>
      </c>
    </row>
    <row r="7" spans="1:6" x14ac:dyDescent="0.35">
      <c r="A7" s="10">
        <v>45299</v>
      </c>
      <c r="B7" s="9">
        <v>4.6136618141097478E-2</v>
      </c>
      <c r="D7" s="6" t="str">
        <f t="shared" si="0"/>
        <v>01/08/2024</v>
      </c>
      <c r="E7" s="6" t="str">
        <f t="shared" si="1"/>
        <v>XBI US Equity</v>
      </c>
      <c r="F7" s="5">
        <f t="shared" si="2"/>
        <v>4.6136618141097478E-2</v>
      </c>
    </row>
    <row r="8" spans="1:6" x14ac:dyDescent="0.35">
      <c r="A8" s="8">
        <v>45300</v>
      </c>
      <c r="B8" s="7">
        <v>1.9267822736030039E-3</v>
      </c>
      <c r="D8" s="6" t="str">
        <f t="shared" si="0"/>
        <v>01/09/2024</v>
      </c>
      <c r="E8" s="6" t="str">
        <f t="shared" si="1"/>
        <v>XBI US Equity</v>
      </c>
      <c r="F8" s="5">
        <f t="shared" si="2"/>
        <v>1.9267822736030039E-3</v>
      </c>
    </row>
    <row r="9" spans="1:6" x14ac:dyDescent="0.35">
      <c r="A9" s="10">
        <v>45301</v>
      </c>
      <c r="B9" s="9">
        <v>-1.143162393162386E-2</v>
      </c>
      <c r="D9" s="6" t="str">
        <f t="shared" si="0"/>
        <v>01/10/2024</v>
      </c>
      <c r="E9" s="6" t="str">
        <f t="shared" si="1"/>
        <v>XBI US Equity</v>
      </c>
      <c r="F9" s="5">
        <f t="shared" si="2"/>
        <v>-1.143162393162386E-2</v>
      </c>
    </row>
    <row r="10" spans="1:6" x14ac:dyDescent="0.35">
      <c r="A10" s="8">
        <v>45302</v>
      </c>
      <c r="B10" s="7">
        <v>-2.2263049821679478E-2</v>
      </c>
      <c r="D10" s="6" t="str">
        <f t="shared" si="0"/>
        <v>01/11/2024</v>
      </c>
      <c r="E10" s="6" t="str">
        <f t="shared" si="1"/>
        <v>XBI US Equity</v>
      </c>
      <c r="F10" s="5">
        <f t="shared" si="2"/>
        <v>-2.2263049821679478E-2</v>
      </c>
    </row>
    <row r="11" spans="1:6" x14ac:dyDescent="0.35">
      <c r="A11" s="10">
        <v>45303</v>
      </c>
      <c r="B11" s="9">
        <v>-5.5266939316897491E-4</v>
      </c>
      <c r="D11" s="6" t="str">
        <f t="shared" si="0"/>
        <v>01/12/2024</v>
      </c>
      <c r="E11" s="6" t="str">
        <f t="shared" si="1"/>
        <v>XBI US Equity</v>
      </c>
      <c r="F11" s="5">
        <f t="shared" si="2"/>
        <v>-5.5266939316897491E-4</v>
      </c>
    </row>
    <row r="12" spans="1:6" x14ac:dyDescent="0.35">
      <c r="A12" s="8">
        <v>45307</v>
      </c>
      <c r="B12" s="7">
        <v>-1.5040920150409195E-2</v>
      </c>
      <c r="D12" s="6" t="str">
        <f t="shared" si="0"/>
        <v>01/16/2024</v>
      </c>
      <c r="E12" s="6" t="str">
        <f t="shared" si="1"/>
        <v>XBI US Equity</v>
      </c>
      <c r="F12" s="5">
        <f t="shared" si="2"/>
        <v>-1.5040920150409195E-2</v>
      </c>
    </row>
    <row r="13" spans="1:6" x14ac:dyDescent="0.35">
      <c r="A13" s="10">
        <v>45308</v>
      </c>
      <c r="B13" s="9">
        <v>-8.0844374578935424E-3</v>
      </c>
      <c r="D13" s="6" t="str">
        <f t="shared" si="0"/>
        <v>01/17/2024</v>
      </c>
      <c r="E13" s="6" t="str">
        <f t="shared" si="1"/>
        <v>XBI US Equity</v>
      </c>
      <c r="F13" s="5">
        <f t="shared" si="2"/>
        <v>-8.0844374578935424E-3</v>
      </c>
    </row>
    <row r="14" spans="1:6" x14ac:dyDescent="0.35">
      <c r="A14" s="8">
        <v>45309</v>
      </c>
      <c r="B14" s="7">
        <v>-1.4489472492642078E-2</v>
      </c>
      <c r="D14" s="6" t="str">
        <f t="shared" si="0"/>
        <v>01/18/2024</v>
      </c>
      <c r="E14" s="6" t="str">
        <f t="shared" si="1"/>
        <v>XBI US Equity</v>
      </c>
      <c r="F14" s="5">
        <f t="shared" si="2"/>
        <v>-1.4489472492642078E-2</v>
      </c>
    </row>
    <row r="15" spans="1:6" x14ac:dyDescent="0.35">
      <c r="A15" s="10">
        <v>45310</v>
      </c>
      <c r="B15" s="9">
        <v>-1.1486331265799581E-4</v>
      </c>
      <c r="D15" s="6" t="str">
        <f t="shared" si="0"/>
        <v>01/19/2024</v>
      </c>
      <c r="E15" s="6" t="str">
        <f t="shared" si="1"/>
        <v>XBI US Equity</v>
      </c>
      <c r="F15" s="5">
        <f t="shared" si="2"/>
        <v>-1.1486331265799581E-4</v>
      </c>
    </row>
    <row r="16" spans="1:6" x14ac:dyDescent="0.35">
      <c r="A16" s="8">
        <v>45313</v>
      </c>
      <c r="B16" s="7">
        <v>2.2515795519816289E-2</v>
      </c>
      <c r="D16" s="6" t="str">
        <f t="shared" si="0"/>
        <v>01/22/2024</v>
      </c>
      <c r="E16" s="6" t="str">
        <f t="shared" si="1"/>
        <v>XBI US Equity</v>
      </c>
      <c r="F16" s="5">
        <f t="shared" si="2"/>
        <v>2.2515795519816289E-2</v>
      </c>
    </row>
    <row r="17" spans="1:6" x14ac:dyDescent="0.35">
      <c r="A17" s="10">
        <v>45314</v>
      </c>
      <c r="B17" s="9">
        <v>2.4716324008538237E-3</v>
      </c>
      <c r="D17" s="6" t="str">
        <f t="shared" si="0"/>
        <v>01/23/2024</v>
      </c>
      <c r="E17" s="6" t="str">
        <f t="shared" si="1"/>
        <v>XBI US Equity</v>
      </c>
      <c r="F17" s="5">
        <f t="shared" si="2"/>
        <v>2.4716324008538237E-3</v>
      </c>
    </row>
    <row r="18" spans="1:6" x14ac:dyDescent="0.35">
      <c r="A18" s="8">
        <v>45315</v>
      </c>
      <c r="B18" s="7">
        <v>-1.6922559677238654E-2</v>
      </c>
      <c r="D18" s="6" t="str">
        <f t="shared" si="0"/>
        <v>01/24/2024</v>
      </c>
      <c r="E18" s="6" t="str">
        <f t="shared" si="1"/>
        <v>XBI US Equity</v>
      </c>
      <c r="F18" s="5">
        <f t="shared" si="2"/>
        <v>-1.6922559677238654E-2</v>
      </c>
    </row>
    <row r="19" spans="1:6" x14ac:dyDescent="0.35">
      <c r="A19" s="10">
        <v>45316</v>
      </c>
      <c r="B19" s="9">
        <v>8.8919288645690972E-3</v>
      </c>
      <c r="D19" s="6" t="str">
        <f t="shared" si="0"/>
        <v>01/25/2024</v>
      </c>
      <c r="E19" s="6" t="str">
        <f t="shared" si="1"/>
        <v>XBI US Equity</v>
      </c>
      <c r="F19" s="5">
        <f t="shared" si="2"/>
        <v>8.8919288645690972E-3</v>
      </c>
    </row>
    <row r="20" spans="1:6" x14ac:dyDescent="0.35">
      <c r="A20" s="8">
        <v>45317</v>
      </c>
      <c r="B20" s="7">
        <v>-2.9378531073446907E-3</v>
      </c>
      <c r="D20" s="6" t="str">
        <f t="shared" si="0"/>
        <v>01/26/2024</v>
      </c>
      <c r="E20" s="6" t="str">
        <f t="shared" si="1"/>
        <v>XBI US Equity</v>
      </c>
      <c r="F20" s="5">
        <f t="shared" si="2"/>
        <v>-2.9378531073446907E-3</v>
      </c>
    </row>
    <row r="21" spans="1:6" x14ac:dyDescent="0.35">
      <c r="A21" s="10">
        <v>45320</v>
      </c>
      <c r="B21" s="9">
        <v>2.9011786038077997E-2</v>
      </c>
      <c r="D21" s="6" t="str">
        <f t="shared" si="0"/>
        <v>01/29/2024</v>
      </c>
      <c r="E21" s="6" t="str">
        <f t="shared" si="1"/>
        <v>XBI US Equity</v>
      </c>
      <c r="F21" s="5">
        <f t="shared" si="2"/>
        <v>2.9011786038077997E-2</v>
      </c>
    </row>
    <row r="22" spans="1:6" x14ac:dyDescent="0.35">
      <c r="A22" s="8">
        <v>45321</v>
      </c>
      <c r="B22" s="7">
        <v>-2.2356828193832615E-2</v>
      </c>
      <c r="D22" s="6" t="str">
        <f t="shared" si="0"/>
        <v>01/30/2024</v>
      </c>
      <c r="E22" s="6" t="str">
        <f t="shared" si="1"/>
        <v>XBI US Equity</v>
      </c>
      <c r="F22" s="5">
        <f t="shared" si="2"/>
        <v>-2.2356828193832615E-2</v>
      </c>
    </row>
    <row r="23" spans="1:6" x14ac:dyDescent="0.35">
      <c r="A23" s="10">
        <v>45322</v>
      </c>
      <c r="B23" s="9">
        <v>-1.5095189816379287E-2</v>
      </c>
      <c r="D23" s="6" t="str">
        <f t="shared" si="0"/>
        <v>01/31/2024</v>
      </c>
      <c r="E23" s="6" t="str">
        <f t="shared" si="1"/>
        <v>XBI US Equity</v>
      </c>
      <c r="F23" s="5">
        <f t="shared" si="2"/>
        <v>-1.5095189816379287E-2</v>
      </c>
    </row>
    <row r="24" spans="1:6" x14ac:dyDescent="0.35">
      <c r="A24" s="8">
        <v>45323</v>
      </c>
      <c r="B24" s="7">
        <v>1.7614091273018322E-2</v>
      </c>
      <c r="D24" s="6" t="str">
        <f t="shared" si="0"/>
        <v>02/01/2024</v>
      </c>
      <c r="E24" s="6" t="str">
        <f t="shared" si="1"/>
        <v>XBI US Equity</v>
      </c>
      <c r="F24" s="5">
        <f t="shared" si="2"/>
        <v>1.7614091273018322E-2</v>
      </c>
    </row>
    <row r="25" spans="1:6" x14ac:dyDescent="0.35">
      <c r="A25" s="10">
        <v>45324</v>
      </c>
      <c r="B25" s="9">
        <v>-1.1239743733842868E-2</v>
      </c>
      <c r="D25" s="6" t="str">
        <f t="shared" si="0"/>
        <v>02/02/2024</v>
      </c>
      <c r="E25" s="6" t="str">
        <f t="shared" si="1"/>
        <v>XBI US Equity</v>
      </c>
      <c r="F25" s="5">
        <f t="shared" si="2"/>
        <v>-1.1239743733842868E-2</v>
      </c>
    </row>
    <row r="26" spans="1:6" x14ac:dyDescent="0.35">
      <c r="A26" s="8">
        <v>45327</v>
      </c>
      <c r="B26" s="7">
        <v>5.001705126747729E-3</v>
      </c>
      <c r="D26" s="6" t="str">
        <f t="shared" si="0"/>
        <v>02/05/2024</v>
      </c>
      <c r="E26" s="6" t="str">
        <f t="shared" si="1"/>
        <v>XBI US Equity</v>
      </c>
      <c r="F26" s="5">
        <f t="shared" si="2"/>
        <v>5.001705126747729E-3</v>
      </c>
    </row>
    <row r="27" spans="1:6" x14ac:dyDescent="0.35">
      <c r="A27" s="10">
        <v>45328</v>
      </c>
      <c r="B27" s="9">
        <v>1.5269765863590188E-2</v>
      </c>
      <c r="D27" s="6" t="str">
        <f t="shared" si="0"/>
        <v>02/06/2024</v>
      </c>
      <c r="E27" s="6" t="str">
        <f t="shared" si="1"/>
        <v>XBI US Equity</v>
      </c>
      <c r="F27" s="5">
        <f t="shared" si="2"/>
        <v>1.5269765863590188E-2</v>
      </c>
    </row>
    <row r="28" spans="1:6" x14ac:dyDescent="0.35">
      <c r="A28" s="8">
        <v>45329</v>
      </c>
      <c r="B28" s="7">
        <v>-1.8827985739750579E-2</v>
      </c>
      <c r="D28" s="6" t="str">
        <f t="shared" si="0"/>
        <v>02/07/2024</v>
      </c>
      <c r="E28" s="6" t="str">
        <f t="shared" si="1"/>
        <v>XBI US Equity</v>
      </c>
      <c r="F28" s="5">
        <f t="shared" si="2"/>
        <v>-1.8827985739750579E-2</v>
      </c>
    </row>
    <row r="29" spans="1:6" x14ac:dyDescent="0.35">
      <c r="A29" s="10">
        <v>45330</v>
      </c>
      <c r="B29" s="9">
        <v>1.3057794935846552E-2</v>
      </c>
      <c r="D29" s="6" t="str">
        <f t="shared" si="0"/>
        <v>02/08/2024</v>
      </c>
      <c r="E29" s="6" t="str">
        <f t="shared" si="1"/>
        <v>XBI US Equity</v>
      </c>
      <c r="F29" s="5">
        <f t="shared" si="2"/>
        <v>1.3057794935846552E-2</v>
      </c>
    </row>
    <row r="30" spans="1:6" x14ac:dyDescent="0.35">
      <c r="A30" s="8">
        <v>45331</v>
      </c>
      <c r="B30" s="7">
        <v>2.0399013674064194E-2</v>
      </c>
      <c r="D30" s="6" t="str">
        <f t="shared" si="0"/>
        <v>02/09/2024</v>
      </c>
      <c r="E30" s="6" t="str">
        <f t="shared" si="1"/>
        <v>XBI US Equity</v>
      </c>
      <c r="F30" s="5">
        <f t="shared" si="2"/>
        <v>2.0399013674064194E-2</v>
      </c>
    </row>
    <row r="31" spans="1:6" x14ac:dyDescent="0.35">
      <c r="A31" s="10">
        <v>45334</v>
      </c>
      <c r="B31" s="9">
        <v>2.2627416520210764E-2</v>
      </c>
      <c r="D31" s="6" t="str">
        <f t="shared" si="0"/>
        <v>02/12/2024</v>
      </c>
      <c r="E31" s="6" t="str">
        <f t="shared" si="1"/>
        <v>XBI US Equity</v>
      </c>
      <c r="F31" s="5">
        <f t="shared" si="2"/>
        <v>2.2627416520210764E-2</v>
      </c>
    </row>
    <row r="32" spans="1:6" x14ac:dyDescent="0.35">
      <c r="A32" s="8">
        <v>45335</v>
      </c>
      <c r="B32" s="7">
        <v>-4.7046186895810908E-2</v>
      </c>
      <c r="D32" s="6" t="str">
        <f t="shared" si="0"/>
        <v>02/13/2024</v>
      </c>
      <c r="E32" s="6" t="str">
        <f t="shared" si="1"/>
        <v>XBI US Equity</v>
      </c>
      <c r="F32" s="5">
        <f t="shared" si="2"/>
        <v>-4.7046186895810908E-2</v>
      </c>
    </row>
    <row r="33" spans="1:6" x14ac:dyDescent="0.35">
      <c r="A33" s="10">
        <v>45336</v>
      </c>
      <c r="B33" s="9">
        <v>2.7276825969341771E-2</v>
      </c>
      <c r="D33" s="6" t="str">
        <f t="shared" si="0"/>
        <v>02/14/2024</v>
      </c>
      <c r="E33" s="6" t="str">
        <f t="shared" si="1"/>
        <v>XBI US Equity</v>
      </c>
      <c r="F33" s="5">
        <f t="shared" si="2"/>
        <v>2.7276825969341771E-2</v>
      </c>
    </row>
    <row r="34" spans="1:6" x14ac:dyDescent="0.35">
      <c r="A34" s="8">
        <v>45337</v>
      </c>
      <c r="B34" s="7">
        <v>2.3370638578011801E-2</v>
      </c>
      <c r="D34" s="6" t="str">
        <f t="shared" si="0"/>
        <v>02/15/2024</v>
      </c>
      <c r="E34" s="6" t="str">
        <f t="shared" si="1"/>
        <v>XBI US Equity</v>
      </c>
      <c r="F34" s="5">
        <f t="shared" si="2"/>
        <v>2.3370638578011801E-2</v>
      </c>
    </row>
    <row r="35" spans="1:6" x14ac:dyDescent="0.35">
      <c r="A35" s="10">
        <v>45338</v>
      </c>
      <c r="B35" s="9">
        <v>-1.2865873271147245E-3</v>
      </c>
      <c r="D35" s="6" t="str">
        <f t="shared" si="0"/>
        <v>02/16/2024</v>
      </c>
      <c r="E35" s="6" t="str">
        <f t="shared" si="1"/>
        <v>XBI US Equity</v>
      </c>
      <c r="F35" s="5">
        <f t="shared" si="2"/>
        <v>-1.2865873271147245E-3</v>
      </c>
    </row>
    <row r="36" spans="1:6" x14ac:dyDescent="0.35">
      <c r="A36" s="8">
        <v>45342</v>
      </c>
      <c r="B36" s="7">
        <v>-8.266237251744607E-3</v>
      </c>
      <c r="D36" s="6" t="str">
        <f t="shared" si="0"/>
        <v>02/20/2024</v>
      </c>
      <c r="E36" s="6" t="str">
        <f t="shared" si="1"/>
        <v>XBI US Equity</v>
      </c>
      <c r="F36" s="5">
        <f t="shared" si="2"/>
        <v>-8.266237251744607E-3</v>
      </c>
    </row>
    <row r="37" spans="1:6" x14ac:dyDescent="0.35">
      <c r="A37" s="10">
        <v>45343</v>
      </c>
      <c r="B37" s="9">
        <v>9.7423684780259165E-4</v>
      </c>
      <c r="D37" s="6" t="str">
        <f t="shared" si="0"/>
        <v>02/21/2024</v>
      </c>
      <c r="E37" s="6" t="str">
        <f t="shared" si="1"/>
        <v>XBI US Equity</v>
      </c>
      <c r="F37" s="5">
        <f t="shared" si="2"/>
        <v>9.7423684780259165E-4</v>
      </c>
    </row>
    <row r="38" spans="1:6" x14ac:dyDescent="0.35">
      <c r="A38" s="8">
        <v>45344</v>
      </c>
      <c r="B38" s="7">
        <v>1.8168054504163585E-2</v>
      </c>
      <c r="D38" s="6" t="str">
        <f t="shared" si="0"/>
        <v>02/22/2024</v>
      </c>
      <c r="E38" s="6" t="str">
        <f t="shared" si="1"/>
        <v>XBI US Equity</v>
      </c>
      <c r="F38" s="5">
        <f t="shared" si="2"/>
        <v>1.8168054504163585E-2</v>
      </c>
    </row>
    <row r="39" spans="1:6" x14ac:dyDescent="0.35">
      <c r="A39" s="10">
        <v>45345</v>
      </c>
      <c r="B39" s="9">
        <v>6.3728093467869812E-3</v>
      </c>
      <c r="D39" s="6" t="str">
        <f t="shared" si="0"/>
        <v>02/23/2024</v>
      </c>
      <c r="E39" s="6" t="str">
        <f t="shared" si="1"/>
        <v>XBI US Equity</v>
      </c>
      <c r="F39" s="5">
        <f t="shared" si="2"/>
        <v>6.3728093467869812E-3</v>
      </c>
    </row>
    <row r="40" spans="1:6" x14ac:dyDescent="0.35">
      <c r="A40" s="8">
        <v>45348</v>
      </c>
      <c r="B40" s="7">
        <v>2.7335092348284996E-2</v>
      </c>
      <c r="D40" s="6" t="str">
        <f t="shared" si="0"/>
        <v>02/26/2024</v>
      </c>
      <c r="E40" s="6" t="str">
        <f t="shared" si="1"/>
        <v>XBI US Equity</v>
      </c>
      <c r="F40" s="5">
        <f t="shared" si="2"/>
        <v>2.7335092348284996E-2</v>
      </c>
    </row>
    <row r="41" spans="1:6" x14ac:dyDescent="0.35">
      <c r="A41" s="10">
        <v>45349</v>
      </c>
      <c r="B41" s="9">
        <v>5.7016642695705742E-2</v>
      </c>
      <c r="D41" s="6" t="str">
        <f t="shared" si="0"/>
        <v>02/27/2024</v>
      </c>
      <c r="E41" s="6" t="str">
        <f t="shared" si="1"/>
        <v>XBI US Equity</v>
      </c>
      <c r="F41" s="5">
        <f t="shared" si="2"/>
        <v>5.7016642695705742E-2</v>
      </c>
    </row>
    <row r="42" spans="1:6" x14ac:dyDescent="0.35">
      <c r="A42" s="8">
        <v>45350</v>
      </c>
      <c r="B42" s="7">
        <v>-1.3217999805617645E-2</v>
      </c>
      <c r="D42" s="6" t="str">
        <f t="shared" si="0"/>
        <v>02/28/2024</v>
      </c>
      <c r="E42" s="6" t="str">
        <f t="shared" si="1"/>
        <v>XBI US Equity</v>
      </c>
      <c r="F42" s="5">
        <f t="shared" si="2"/>
        <v>-1.3217999805617645E-2</v>
      </c>
    </row>
    <row r="43" spans="1:6" x14ac:dyDescent="0.35">
      <c r="A43" s="10">
        <v>45351</v>
      </c>
      <c r="B43" s="9">
        <v>-3.0631340490495415E-2</v>
      </c>
      <c r="D43" s="6" t="str">
        <f t="shared" si="0"/>
        <v>02/29/2024</v>
      </c>
      <c r="E43" s="6" t="str">
        <f t="shared" si="1"/>
        <v>XBI US Equity</v>
      </c>
      <c r="F43" s="5">
        <f t="shared" si="2"/>
        <v>-3.0631340490495415E-2</v>
      </c>
    </row>
    <row r="44" spans="1:6" x14ac:dyDescent="0.35">
      <c r="A44" s="8">
        <v>45352</v>
      </c>
      <c r="B44" s="7">
        <v>3.1599268441373701E-2</v>
      </c>
      <c r="D44" s="6" t="str">
        <f t="shared" si="0"/>
        <v>03/01/2024</v>
      </c>
      <c r="E44" s="6" t="str">
        <f t="shared" si="1"/>
        <v>XBI US Equity</v>
      </c>
      <c r="F44" s="5">
        <f t="shared" si="2"/>
        <v>3.1599268441373701E-2</v>
      </c>
    </row>
    <row r="45" spans="1:6" x14ac:dyDescent="0.35">
      <c r="A45" s="10">
        <v>45355</v>
      </c>
      <c r="B45" s="9">
        <v>-7.8794444991627816E-3</v>
      </c>
      <c r="D45" s="6" t="str">
        <f t="shared" si="0"/>
        <v>03/04/2024</v>
      </c>
      <c r="E45" s="6" t="str">
        <f t="shared" si="1"/>
        <v>XBI US Equity</v>
      </c>
      <c r="F45" s="5">
        <f t="shared" si="2"/>
        <v>-7.8794444991627816E-3</v>
      </c>
    </row>
    <row r="46" spans="1:6" x14ac:dyDescent="0.35">
      <c r="A46" s="8">
        <v>45356</v>
      </c>
      <c r="B46" s="7">
        <v>-1.2607961878288595E-2</v>
      </c>
      <c r="D46" s="6" t="str">
        <f t="shared" si="0"/>
        <v>03/05/2024</v>
      </c>
      <c r="E46" s="6" t="str">
        <f t="shared" si="1"/>
        <v>XBI US Equity</v>
      </c>
      <c r="F46" s="5">
        <f t="shared" si="2"/>
        <v>-1.2607961878288595E-2</v>
      </c>
    </row>
    <row r="47" spans="1:6" x14ac:dyDescent="0.35">
      <c r="A47" s="10">
        <v>45357</v>
      </c>
      <c r="B47" s="9">
        <v>6.6358335009049953E-3</v>
      </c>
      <c r="D47" s="6" t="str">
        <f t="shared" si="0"/>
        <v>03/06/2024</v>
      </c>
      <c r="E47" s="6" t="str">
        <f t="shared" si="1"/>
        <v>XBI US Equity</v>
      </c>
      <c r="F47" s="5">
        <f t="shared" si="2"/>
        <v>6.6358335009049953E-3</v>
      </c>
    </row>
    <row r="48" spans="1:6" x14ac:dyDescent="0.35">
      <c r="A48" s="8">
        <v>45358</v>
      </c>
      <c r="B48" s="7">
        <v>-1.3284059129045128E-2</v>
      </c>
      <c r="D48" s="6" t="str">
        <f t="shared" si="0"/>
        <v>03/07/2024</v>
      </c>
      <c r="E48" s="6" t="str">
        <f t="shared" si="1"/>
        <v>XBI US Equity</v>
      </c>
      <c r="F48" s="5">
        <f t="shared" si="2"/>
        <v>-1.3284059129045128E-2</v>
      </c>
    </row>
    <row r="49" spans="1:6" x14ac:dyDescent="0.35">
      <c r="A49" s="10">
        <v>45359</v>
      </c>
      <c r="B49" s="9">
        <v>1.6195971252150681E-3</v>
      </c>
      <c r="D49" s="6" t="str">
        <f t="shared" si="0"/>
        <v>03/08/2024</v>
      </c>
      <c r="E49" s="6" t="str">
        <f t="shared" si="1"/>
        <v>XBI US Equity</v>
      </c>
      <c r="F49" s="5">
        <f t="shared" si="2"/>
        <v>1.6195971252150681E-3</v>
      </c>
    </row>
    <row r="50" spans="1:6" x14ac:dyDescent="0.35">
      <c r="A50" s="8">
        <v>45362</v>
      </c>
      <c r="B50" s="7">
        <v>-2.1424962102071798E-2</v>
      </c>
      <c r="D50" s="6" t="str">
        <f t="shared" si="0"/>
        <v>03/11/2024</v>
      </c>
      <c r="E50" s="6" t="str">
        <f t="shared" si="1"/>
        <v>XBI US Equity</v>
      </c>
      <c r="F50" s="5">
        <f t="shared" si="2"/>
        <v>-2.1424962102071798E-2</v>
      </c>
    </row>
    <row r="51" spans="1:6" x14ac:dyDescent="0.35">
      <c r="A51" s="10">
        <v>45363</v>
      </c>
      <c r="B51" s="9">
        <v>-6.5062480636166008E-3</v>
      </c>
      <c r="D51" s="6" t="str">
        <f t="shared" si="0"/>
        <v>03/12/2024</v>
      </c>
      <c r="E51" s="6" t="str">
        <f t="shared" si="1"/>
        <v>XBI US Equity</v>
      </c>
      <c r="F51" s="5">
        <f t="shared" si="2"/>
        <v>-6.5062480636166008E-3</v>
      </c>
    </row>
    <row r="52" spans="1:6" x14ac:dyDescent="0.35">
      <c r="A52" s="8">
        <v>45364</v>
      </c>
      <c r="B52" s="7">
        <v>9.3555093555092658E-3</v>
      </c>
      <c r="D52" s="6" t="str">
        <f t="shared" si="0"/>
        <v>03/13/2024</v>
      </c>
      <c r="E52" s="6" t="str">
        <f t="shared" si="1"/>
        <v>XBI US Equity</v>
      </c>
      <c r="F52" s="5">
        <f t="shared" si="2"/>
        <v>9.3555093555092658E-3</v>
      </c>
    </row>
    <row r="53" spans="1:6" x14ac:dyDescent="0.35">
      <c r="A53" s="10">
        <v>45365</v>
      </c>
      <c r="B53" s="9">
        <v>-2.7291452111225453E-2</v>
      </c>
      <c r="D53" s="6" t="str">
        <f t="shared" si="0"/>
        <v>03/14/2024</v>
      </c>
      <c r="E53" s="6" t="str">
        <f t="shared" si="1"/>
        <v>XBI US Equity</v>
      </c>
      <c r="F53" s="5">
        <f t="shared" si="2"/>
        <v>-2.7291452111225453E-2</v>
      </c>
    </row>
    <row r="54" spans="1:6" x14ac:dyDescent="0.35">
      <c r="A54" s="8">
        <v>45366</v>
      </c>
      <c r="B54" s="7">
        <v>2.7527792482794169E-3</v>
      </c>
      <c r="D54" s="6" t="str">
        <f t="shared" si="0"/>
        <v>03/15/2024</v>
      </c>
      <c r="E54" s="6" t="str">
        <f t="shared" si="1"/>
        <v>XBI US Equity</v>
      </c>
      <c r="F54" s="5">
        <f t="shared" si="2"/>
        <v>2.7527792482794169E-3</v>
      </c>
    </row>
    <row r="55" spans="1:6" x14ac:dyDescent="0.35">
      <c r="A55" s="10">
        <v>45369</v>
      </c>
      <c r="B55" s="9">
        <v>-1.8583042973286782E-2</v>
      </c>
      <c r="D55" s="6" t="str">
        <f t="shared" si="0"/>
        <v>03/18/2024</v>
      </c>
      <c r="E55" s="6" t="str">
        <f t="shared" si="1"/>
        <v>XBI US Equity</v>
      </c>
      <c r="F55" s="5">
        <f t="shared" si="2"/>
        <v>-1.8583042973286782E-2</v>
      </c>
    </row>
    <row r="56" spans="1:6" x14ac:dyDescent="0.35">
      <c r="A56" s="8">
        <v>45370</v>
      </c>
      <c r="B56" s="7">
        <v>9.6826250672403594E-3</v>
      </c>
      <c r="D56" s="6" t="str">
        <f t="shared" si="0"/>
        <v>03/19/2024</v>
      </c>
      <c r="E56" s="6" t="str">
        <f t="shared" si="1"/>
        <v>XBI US Equity</v>
      </c>
      <c r="F56" s="5">
        <f t="shared" si="2"/>
        <v>9.6826250672403594E-3</v>
      </c>
    </row>
    <row r="57" spans="1:6" x14ac:dyDescent="0.35">
      <c r="A57" s="10">
        <v>45371</v>
      </c>
      <c r="B57" s="9">
        <v>1.3958444326052236E-2</v>
      </c>
      <c r="D57" s="6" t="str">
        <f t="shared" si="0"/>
        <v>03/20/2024</v>
      </c>
      <c r="E57" s="6" t="str">
        <f t="shared" si="1"/>
        <v>XBI US Equity</v>
      </c>
      <c r="F57" s="5">
        <f t="shared" si="2"/>
        <v>1.3958444326052236E-2</v>
      </c>
    </row>
    <row r="58" spans="1:6" x14ac:dyDescent="0.35">
      <c r="A58" s="8">
        <v>45372</v>
      </c>
      <c r="B58" s="7">
        <v>4.2034468263983031E-4</v>
      </c>
      <c r="D58" s="6" t="str">
        <f t="shared" si="0"/>
        <v>03/21/2024</v>
      </c>
      <c r="E58" s="6" t="str">
        <f t="shared" si="1"/>
        <v>XBI US Equity</v>
      </c>
      <c r="F58" s="5">
        <f t="shared" si="2"/>
        <v>4.2034468263983031E-4</v>
      </c>
    </row>
    <row r="59" spans="1:6" x14ac:dyDescent="0.35">
      <c r="A59" s="10">
        <v>45373</v>
      </c>
      <c r="B59" s="9">
        <v>-1.7226890756302526E-2</v>
      </c>
      <c r="D59" s="6" t="str">
        <f t="shared" si="0"/>
        <v>03/22/2024</v>
      </c>
      <c r="E59" s="6" t="str">
        <f t="shared" si="1"/>
        <v>XBI US Equity</v>
      </c>
      <c r="F59" s="5">
        <f t="shared" si="2"/>
        <v>-1.7226890756302526E-2</v>
      </c>
    </row>
    <row r="60" spans="1:6" x14ac:dyDescent="0.35">
      <c r="A60" s="8">
        <v>45376</v>
      </c>
      <c r="B60" s="7">
        <v>-9.5126122274476338E-3</v>
      </c>
      <c r="D60" s="6" t="str">
        <f t="shared" si="0"/>
        <v>03/25/2024</v>
      </c>
      <c r="E60" s="6" t="str">
        <f t="shared" si="1"/>
        <v>XBI US Equity</v>
      </c>
      <c r="F60" s="5">
        <f t="shared" si="2"/>
        <v>-9.5126122274476338E-3</v>
      </c>
    </row>
    <row r="61" spans="1:6" x14ac:dyDescent="0.35">
      <c r="A61" s="10">
        <v>45377</v>
      </c>
      <c r="B61" s="9">
        <v>2.1581957483539466E-4</v>
      </c>
      <c r="D61" s="6" t="str">
        <f t="shared" si="0"/>
        <v>03/26/2024</v>
      </c>
      <c r="E61" s="6" t="str">
        <f t="shared" si="1"/>
        <v>XBI US Equity</v>
      </c>
      <c r="F61" s="5">
        <f t="shared" si="2"/>
        <v>2.1581957483539466E-4</v>
      </c>
    </row>
    <row r="62" spans="1:6" x14ac:dyDescent="0.35">
      <c r="A62" s="8">
        <v>45378</v>
      </c>
      <c r="B62" s="7">
        <v>2.3950803754450307E-2</v>
      </c>
      <c r="D62" s="6" t="str">
        <f t="shared" si="0"/>
        <v>03/27/2024</v>
      </c>
      <c r="E62" s="6" t="str">
        <f t="shared" si="1"/>
        <v>XBI US Equity</v>
      </c>
      <c r="F62" s="5">
        <f t="shared" si="2"/>
        <v>2.3950803754450307E-2</v>
      </c>
    </row>
    <row r="63" spans="1:6" x14ac:dyDescent="0.35">
      <c r="A63" s="10">
        <v>45379</v>
      </c>
      <c r="B63" s="9">
        <v>-2.1072595090081155E-4</v>
      </c>
      <c r="D63" s="6" t="str">
        <f t="shared" si="0"/>
        <v>03/28/2024</v>
      </c>
      <c r="E63" s="6" t="str">
        <f t="shared" si="1"/>
        <v>XBI US Equity</v>
      </c>
      <c r="F63" s="5">
        <f t="shared" si="2"/>
        <v>-2.1072595090081155E-4</v>
      </c>
    </row>
    <row r="64" spans="1:6" x14ac:dyDescent="0.35">
      <c r="A64" s="8">
        <v>45383</v>
      </c>
      <c r="B64" s="7">
        <v>-1.0960059015702458E-2</v>
      </c>
      <c r="D64" s="6" t="str">
        <f t="shared" si="0"/>
        <v>04/01/2024</v>
      </c>
      <c r="E64" s="6" t="str">
        <f t="shared" si="1"/>
        <v>XBI US Equity</v>
      </c>
      <c r="F64" s="5">
        <f t="shared" si="2"/>
        <v>-1.0960059015702458E-2</v>
      </c>
    </row>
    <row r="65" spans="1:6" x14ac:dyDescent="0.35">
      <c r="A65" s="10">
        <v>45384</v>
      </c>
      <c r="B65" s="9">
        <v>-3.377730420884377E-2</v>
      </c>
      <c r="D65" s="6" t="str">
        <f t="shared" si="0"/>
        <v>04/02/2024</v>
      </c>
      <c r="E65" s="6" t="str">
        <f t="shared" si="1"/>
        <v>XBI US Equity</v>
      </c>
      <c r="F65" s="5">
        <f t="shared" si="2"/>
        <v>-3.377730420884377E-2</v>
      </c>
    </row>
    <row r="66" spans="1:6" x14ac:dyDescent="0.35">
      <c r="A66" s="8">
        <v>45385</v>
      </c>
      <c r="B66" s="7">
        <v>3.9700044111160059E-3</v>
      </c>
      <c r="D66" s="6" t="str">
        <f t="shared" si="0"/>
        <v>04/03/2024</v>
      </c>
      <c r="E66" s="6" t="str">
        <f t="shared" si="1"/>
        <v>XBI US Equity</v>
      </c>
      <c r="F66" s="5">
        <f t="shared" si="2"/>
        <v>3.9700044111160059E-3</v>
      </c>
    </row>
    <row r="67" spans="1:6" x14ac:dyDescent="0.35">
      <c r="A67" s="10">
        <v>45386</v>
      </c>
      <c r="B67" s="9">
        <v>-1.7025483304042303E-2</v>
      </c>
      <c r="D67" s="6" t="str">
        <f t="shared" ref="D67:D130" si="3">IF(A67 =  "", "",  TEXT(A67, "mm/dd/yyyy"))</f>
        <v>04/04/2024</v>
      </c>
      <c r="E67" s="6" t="str">
        <f t="shared" ref="E67:E130" si="4">IF(A67="", "", EntityLocal)</f>
        <v>XBI US Equity</v>
      </c>
      <c r="F67" s="5">
        <f t="shared" ref="F67:F130" si="5">IF(B67="","", B67)</f>
        <v>-1.7025483304042303E-2</v>
      </c>
    </row>
    <row r="68" spans="1:6" x14ac:dyDescent="0.35">
      <c r="A68" s="8">
        <v>45387</v>
      </c>
      <c r="B68" s="7">
        <v>7.7103586992961449E-3</v>
      </c>
      <c r="D68" s="6" t="str">
        <f t="shared" si="3"/>
        <v>04/05/2024</v>
      </c>
      <c r="E68" s="6" t="str">
        <f t="shared" si="4"/>
        <v>XBI US Equity</v>
      </c>
      <c r="F68" s="5">
        <f t="shared" si="5"/>
        <v>7.7103586992961449E-3</v>
      </c>
    </row>
    <row r="69" spans="1:6" x14ac:dyDescent="0.35">
      <c r="A69" s="10">
        <v>45390</v>
      </c>
      <c r="B69" s="9">
        <v>2.4395653138167979E-3</v>
      </c>
      <c r="D69" s="6" t="str">
        <f t="shared" si="3"/>
        <v>04/08/2024</v>
      </c>
      <c r="E69" s="6" t="str">
        <f t="shared" si="4"/>
        <v>XBI US Equity</v>
      </c>
      <c r="F69" s="5">
        <f t="shared" si="5"/>
        <v>2.4395653138167979E-3</v>
      </c>
    </row>
    <row r="70" spans="1:6" x14ac:dyDescent="0.35">
      <c r="A70" s="8">
        <v>45391</v>
      </c>
      <c r="B70" s="7">
        <v>1.371681415929198E-2</v>
      </c>
      <c r="D70" s="6" t="str">
        <f t="shared" si="3"/>
        <v>04/09/2024</v>
      </c>
      <c r="E70" s="6" t="str">
        <f t="shared" si="4"/>
        <v>XBI US Equity</v>
      </c>
      <c r="F70" s="5">
        <f t="shared" si="5"/>
        <v>1.371681415929198E-2</v>
      </c>
    </row>
    <row r="71" spans="1:6" x14ac:dyDescent="0.35">
      <c r="A71" s="10">
        <v>45392</v>
      </c>
      <c r="B71" s="9">
        <v>-1.8441728502837165E-2</v>
      </c>
      <c r="D71" s="6" t="str">
        <f t="shared" si="3"/>
        <v>04/10/2024</v>
      </c>
      <c r="E71" s="6" t="str">
        <f t="shared" si="4"/>
        <v>XBI US Equity</v>
      </c>
      <c r="F71" s="5">
        <f t="shared" si="5"/>
        <v>-1.8441728502837165E-2</v>
      </c>
    </row>
    <row r="72" spans="1:6" x14ac:dyDescent="0.35">
      <c r="A72" s="8">
        <v>45393</v>
      </c>
      <c r="B72" s="7">
        <v>1.4785992217898813E-2</v>
      </c>
      <c r="D72" s="6" t="str">
        <f t="shared" si="3"/>
        <v>04/11/2024</v>
      </c>
      <c r="E72" s="6" t="str">
        <f t="shared" si="4"/>
        <v>XBI US Equity</v>
      </c>
      <c r="F72" s="5">
        <f t="shared" si="5"/>
        <v>1.4785992217898813E-2</v>
      </c>
    </row>
    <row r="73" spans="1:6" x14ac:dyDescent="0.35">
      <c r="A73" s="10">
        <v>45394</v>
      </c>
      <c r="B73" s="9">
        <v>-3.4290096406660774E-2</v>
      </c>
      <c r="D73" s="6" t="str">
        <f t="shared" si="3"/>
        <v>04/12/2024</v>
      </c>
      <c r="E73" s="6" t="str">
        <f t="shared" si="4"/>
        <v>XBI US Equity</v>
      </c>
      <c r="F73" s="5">
        <f t="shared" si="5"/>
        <v>-3.4290096406660774E-2</v>
      </c>
    </row>
    <row r="74" spans="1:6" x14ac:dyDescent="0.35">
      <c r="A74" s="8">
        <v>45397</v>
      </c>
      <c r="B74" s="7">
        <v>-2.0419739081111873E-2</v>
      </c>
      <c r="D74" s="6" t="str">
        <f t="shared" si="3"/>
        <v>04/15/2024</v>
      </c>
      <c r="E74" s="6" t="str">
        <f t="shared" si="4"/>
        <v>XBI US Equity</v>
      </c>
      <c r="F74" s="5">
        <f t="shared" si="5"/>
        <v>-2.0419739081111873E-2</v>
      </c>
    </row>
    <row r="75" spans="1:6" x14ac:dyDescent="0.35">
      <c r="A75" s="10">
        <v>45398</v>
      </c>
      <c r="B75" s="9">
        <v>-8.5697741748696574E-3</v>
      </c>
      <c r="D75" s="6" t="str">
        <f t="shared" si="3"/>
        <v>04/16/2024</v>
      </c>
      <c r="E75" s="6" t="str">
        <f t="shared" si="4"/>
        <v>XBI US Equity</v>
      </c>
      <c r="F75" s="5">
        <f t="shared" si="5"/>
        <v>-8.5697741748696574E-3</v>
      </c>
    </row>
    <row r="76" spans="1:6" x14ac:dyDescent="0.35">
      <c r="A76" s="8">
        <v>45399</v>
      </c>
      <c r="B76" s="7">
        <v>-1.1213643265973528E-2</v>
      </c>
      <c r="D76" s="6" t="str">
        <f t="shared" si="3"/>
        <v>04/17/2024</v>
      </c>
      <c r="E76" s="6" t="str">
        <f t="shared" si="4"/>
        <v>XBI US Equity</v>
      </c>
      <c r="F76" s="5">
        <f t="shared" si="5"/>
        <v>-1.1213643265973528E-2</v>
      </c>
    </row>
    <row r="77" spans="1:6" x14ac:dyDescent="0.35">
      <c r="A77" s="10">
        <v>45400</v>
      </c>
      <c r="B77" s="9">
        <v>-1.3821618428824591E-2</v>
      </c>
      <c r="D77" s="6" t="str">
        <f t="shared" si="3"/>
        <v>04/18/2024</v>
      </c>
      <c r="E77" s="6" t="str">
        <f t="shared" si="4"/>
        <v>XBI US Equity</v>
      </c>
      <c r="F77" s="5">
        <f t="shared" si="5"/>
        <v>-1.3821618428824591E-2</v>
      </c>
    </row>
    <row r="78" spans="1:6" x14ac:dyDescent="0.35">
      <c r="A78" s="8">
        <v>45401</v>
      </c>
      <c r="B78" s="7">
        <v>-7.7862961188309258E-3</v>
      </c>
      <c r="D78" s="6" t="str">
        <f t="shared" si="3"/>
        <v>04/19/2024</v>
      </c>
      <c r="E78" s="6" t="str">
        <f t="shared" si="4"/>
        <v>XBI US Equity</v>
      </c>
      <c r="F78" s="5">
        <f t="shared" si="5"/>
        <v>-7.7862961188309258E-3</v>
      </c>
    </row>
    <row r="79" spans="1:6" x14ac:dyDescent="0.35">
      <c r="A79" s="10">
        <v>45404</v>
      </c>
      <c r="B79" s="9">
        <v>1.1107086804297981E-2</v>
      </c>
      <c r="D79" s="6" t="str">
        <f t="shared" si="3"/>
        <v>04/22/2024</v>
      </c>
      <c r="E79" s="6" t="str">
        <f t="shared" si="4"/>
        <v>XBI US Equity</v>
      </c>
      <c r="F79" s="5">
        <f t="shared" si="5"/>
        <v>1.1107086804297981E-2</v>
      </c>
    </row>
    <row r="80" spans="1:6" x14ac:dyDescent="0.35">
      <c r="A80" s="8">
        <v>45405</v>
      </c>
      <c r="B80" s="7">
        <v>1.1223880597014898E-2</v>
      </c>
      <c r="D80" s="6" t="str">
        <f t="shared" si="3"/>
        <v>04/23/2024</v>
      </c>
      <c r="E80" s="6" t="str">
        <f t="shared" si="4"/>
        <v>XBI US Equity</v>
      </c>
      <c r="F80" s="5">
        <f t="shared" si="5"/>
        <v>1.1223880597014898E-2</v>
      </c>
    </row>
    <row r="81" spans="1:6" x14ac:dyDescent="0.35">
      <c r="A81" s="10">
        <v>45406</v>
      </c>
      <c r="B81" s="9">
        <v>-8.8558271342543404E-3</v>
      </c>
      <c r="D81" s="6" t="str">
        <f t="shared" si="3"/>
        <v>04/24/2024</v>
      </c>
      <c r="E81" s="6" t="str">
        <f t="shared" si="4"/>
        <v>XBI US Equity</v>
      </c>
      <c r="F81" s="5">
        <f t="shared" si="5"/>
        <v>-8.8558271342543404E-3</v>
      </c>
    </row>
    <row r="82" spans="1:6" x14ac:dyDescent="0.35">
      <c r="A82" s="8">
        <v>45407</v>
      </c>
      <c r="B82" s="7">
        <v>-2.0490826781034061E-2</v>
      </c>
      <c r="D82" s="6" t="str">
        <f t="shared" si="3"/>
        <v>04/25/2024</v>
      </c>
      <c r="E82" s="6" t="str">
        <f t="shared" si="4"/>
        <v>XBI US Equity</v>
      </c>
      <c r="F82" s="5">
        <f t="shared" si="5"/>
        <v>-2.0490826781034061E-2</v>
      </c>
    </row>
    <row r="83" spans="1:6" x14ac:dyDescent="0.35">
      <c r="A83" s="10">
        <v>45408</v>
      </c>
      <c r="B83" s="9">
        <v>1.5446363415227392E-2</v>
      </c>
      <c r="D83" s="6" t="str">
        <f t="shared" si="3"/>
        <v>04/26/2024</v>
      </c>
      <c r="E83" s="6" t="str">
        <f t="shared" si="4"/>
        <v>XBI US Equity</v>
      </c>
      <c r="F83" s="5">
        <f t="shared" si="5"/>
        <v>1.5446363415227392E-2</v>
      </c>
    </row>
    <row r="84" spans="1:6" x14ac:dyDescent="0.35">
      <c r="A84" s="8">
        <v>45411</v>
      </c>
      <c r="B84" s="7">
        <v>2.4314289136423538E-2</v>
      </c>
      <c r="D84" s="6" t="str">
        <f t="shared" si="3"/>
        <v>04/29/2024</v>
      </c>
      <c r="E84" s="6" t="str">
        <f t="shared" si="4"/>
        <v>XBI US Equity</v>
      </c>
      <c r="F84" s="5">
        <f t="shared" si="5"/>
        <v>2.4314289136423538E-2</v>
      </c>
    </row>
    <row r="85" spans="1:6" x14ac:dyDescent="0.35">
      <c r="A85" s="10">
        <v>45412</v>
      </c>
      <c r="B85" s="9">
        <v>-1.0523854069223475E-2</v>
      </c>
      <c r="D85" s="6" t="str">
        <f t="shared" si="3"/>
        <v>04/30/2024</v>
      </c>
      <c r="E85" s="6" t="str">
        <f t="shared" si="4"/>
        <v>XBI US Equity</v>
      </c>
      <c r="F85" s="5">
        <f t="shared" si="5"/>
        <v>-1.0523854069223475E-2</v>
      </c>
    </row>
    <row r="86" spans="1:6" x14ac:dyDescent="0.35">
      <c r="A86" s="8">
        <v>45413</v>
      </c>
      <c r="B86" s="7">
        <v>3.2025525880406448E-2</v>
      </c>
      <c r="D86" s="6" t="str">
        <f t="shared" si="3"/>
        <v>05/01/2024</v>
      </c>
      <c r="E86" s="6" t="str">
        <f t="shared" si="4"/>
        <v>XBI US Equity</v>
      </c>
      <c r="F86" s="5">
        <f t="shared" si="5"/>
        <v>3.2025525880406448E-2</v>
      </c>
    </row>
    <row r="87" spans="1:6" x14ac:dyDescent="0.35">
      <c r="A87" s="10">
        <v>45414</v>
      </c>
      <c r="B87" s="9">
        <v>1.1565326920874901E-2</v>
      </c>
      <c r="D87" s="6" t="str">
        <f t="shared" si="3"/>
        <v>05/02/2024</v>
      </c>
      <c r="E87" s="6" t="str">
        <f t="shared" si="4"/>
        <v>XBI US Equity</v>
      </c>
      <c r="F87" s="5">
        <f t="shared" si="5"/>
        <v>1.1565326920874901E-2</v>
      </c>
    </row>
    <row r="88" spans="1:6" x14ac:dyDescent="0.35">
      <c r="A88" s="8">
        <v>45415</v>
      </c>
      <c r="B88" s="7">
        <v>1.8564636631197652E-2</v>
      </c>
      <c r="D88" s="6" t="str">
        <f t="shared" si="3"/>
        <v>05/03/2024</v>
      </c>
      <c r="E88" s="6" t="str">
        <f t="shared" si="4"/>
        <v>XBI US Equity</v>
      </c>
      <c r="F88" s="5">
        <f t="shared" si="5"/>
        <v>1.8564636631197652E-2</v>
      </c>
    </row>
    <row r="89" spans="1:6" x14ac:dyDescent="0.35">
      <c r="A89" s="10">
        <v>45418</v>
      </c>
      <c r="B89" s="9">
        <v>6.6681484774393672E-3</v>
      </c>
      <c r="D89" s="6" t="str">
        <f t="shared" si="3"/>
        <v>05/06/2024</v>
      </c>
      <c r="E89" s="6" t="str">
        <f t="shared" si="4"/>
        <v>XBI US Equity</v>
      </c>
      <c r="F89" s="5">
        <f t="shared" si="5"/>
        <v>6.6681484774393672E-3</v>
      </c>
    </row>
    <row r="90" spans="1:6" x14ac:dyDescent="0.35">
      <c r="A90" s="8">
        <v>45419</v>
      </c>
      <c r="B90" s="7">
        <v>-1.6559947008168634E-3</v>
      </c>
      <c r="D90" s="6" t="str">
        <f t="shared" si="3"/>
        <v>05/07/2024</v>
      </c>
      <c r="E90" s="6" t="str">
        <f t="shared" si="4"/>
        <v>XBI US Equity</v>
      </c>
      <c r="F90" s="5">
        <f t="shared" si="5"/>
        <v>-1.6559947008168634E-3</v>
      </c>
    </row>
    <row r="91" spans="1:6" x14ac:dyDescent="0.35">
      <c r="A91" s="10">
        <v>45420</v>
      </c>
      <c r="B91" s="9">
        <v>-1.4596925798960603E-2</v>
      </c>
      <c r="D91" s="6" t="str">
        <f t="shared" si="3"/>
        <v>05/08/2024</v>
      </c>
      <c r="E91" s="6" t="str">
        <f t="shared" si="4"/>
        <v>XBI US Equity</v>
      </c>
      <c r="F91" s="5">
        <f t="shared" si="5"/>
        <v>-1.4596925798960603E-2</v>
      </c>
    </row>
    <row r="92" spans="1:6" x14ac:dyDescent="0.35">
      <c r="A92" s="8">
        <v>45421</v>
      </c>
      <c r="B92" s="7">
        <v>-1.4588710582425705E-3</v>
      </c>
      <c r="D92" s="6" t="str">
        <f t="shared" si="3"/>
        <v>05/09/2024</v>
      </c>
      <c r="E92" s="6" t="str">
        <f t="shared" si="4"/>
        <v>XBI US Equity</v>
      </c>
      <c r="F92" s="5">
        <f t="shared" si="5"/>
        <v>-1.4588710582425705E-3</v>
      </c>
    </row>
    <row r="93" spans="1:6" x14ac:dyDescent="0.35">
      <c r="A93" s="10">
        <v>45422</v>
      </c>
      <c r="B93" s="9">
        <v>-9.4403236682400922E-3</v>
      </c>
      <c r="D93" s="6" t="str">
        <f t="shared" si="3"/>
        <v>05/10/2024</v>
      </c>
      <c r="E93" s="6" t="str">
        <f t="shared" si="4"/>
        <v>XBI US Equity</v>
      </c>
      <c r="F93" s="5">
        <f t="shared" si="5"/>
        <v>-9.4403236682400922E-3</v>
      </c>
    </row>
    <row r="94" spans="1:6" x14ac:dyDescent="0.35">
      <c r="A94" s="8">
        <v>45425</v>
      </c>
      <c r="B94" s="7">
        <v>1.9741320626276319E-2</v>
      </c>
      <c r="D94" s="6" t="str">
        <f t="shared" si="3"/>
        <v>05/13/2024</v>
      </c>
      <c r="E94" s="6" t="str">
        <f t="shared" si="4"/>
        <v>XBI US Equity</v>
      </c>
      <c r="F94" s="5">
        <f t="shared" si="5"/>
        <v>1.9741320626276319E-2</v>
      </c>
    </row>
    <row r="95" spans="1:6" x14ac:dyDescent="0.35">
      <c r="A95" s="10">
        <v>45426</v>
      </c>
      <c r="B95" s="9">
        <v>1.0013351134846527E-2</v>
      </c>
      <c r="D95" s="6" t="str">
        <f t="shared" si="3"/>
        <v>05/14/2024</v>
      </c>
      <c r="E95" s="6" t="str">
        <f t="shared" si="4"/>
        <v>XBI US Equity</v>
      </c>
      <c r="F95" s="5">
        <f t="shared" si="5"/>
        <v>1.0013351134846527E-2</v>
      </c>
    </row>
    <row r="96" spans="1:6" x14ac:dyDescent="0.35">
      <c r="A96" s="8">
        <v>45427</v>
      </c>
      <c r="B96" s="7">
        <v>2.0158625247851929E-2</v>
      </c>
      <c r="D96" s="6" t="str">
        <f t="shared" si="3"/>
        <v>05/15/2024</v>
      </c>
      <c r="E96" s="6" t="str">
        <f t="shared" si="4"/>
        <v>XBI US Equity</v>
      </c>
      <c r="F96" s="5">
        <f t="shared" si="5"/>
        <v>2.0158625247851929E-2</v>
      </c>
    </row>
    <row r="97" spans="1:6" x14ac:dyDescent="0.35">
      <c r="A97" s="10">
        <v>45428</v>
      </c>
      <c r="B97" s="9">
        <v>-2.159593996328261E-4</v>
      </c>
      <c r="D97" s="6" t="str">
        <f t="shared" si="3"/>
        <v>05/16/2024</v>
      </c>
      <c r="E97" s="6" t="str">
        <f t="shared" si="4"/>
        <v>XBI US Equity</v>
      </c>
      <c r="F97" s="5">
        <f t="shared" si="5"/>
        <v>-2.159593996328261E-4</v>
      </c>
    </row>
    <row r="98" spans="1:6" x14ac:dyDescent="0.35">
      <c r="A98" s="8">
        <v>45429</v>
      </c>
      <c r="B98" s="7">
        <v>-1.5228426395939049E-2</v>
      </c>
      <c r="D98" s="6" t="str">
        <f t="shared" si="3"/>
        <v>05/17/2024</v>
      </c>
      <c r="E98" s="6" t="str">
        <f t="shared" si="4"/>
        <v>XBI US Equity</v>
      </c>
      <c r="F98" s="5">
        <f t="shared" si="5"/>
        <v>-1.5228426395939049E-2</v>
      </c>
    </row>
    <row r="99" spans="1:6" x14ac:dyDescent="0.35">
      <c r="A99" s="10">
        <v>45432</v>
      </c>
      <c r="B99" s="9">
        <v>1.1954375959640152E-2</v>
      </c>
      <c r="D99" s="6" t="str">
        <f t="shared" si="3"/>
        <v>05/20/2024</v>
      </c>
      <c r="E99" s="6" t="str">
        <f t="shared" si="4"/>
        <v>XBI US Equity</v>
      </c>
      <c r="F99" s="5">
        <f t="shared" si="5"/>
        <v>1.1954375959640152E-2</v>
      </c>
    </row>
    <row r="100" spans="1:6" x14ac:dyDescent="0.35">
      <c r="A100" s="8">
        <v>45433</v>
      </c>
      <c r="B100" s="7">
        <v>-7.5864311260431666E-3</v>
      </c>
      <c r="D100" s="6" t="str">
        <f t="shared" si="3"/>
        <v>05/21/2024</v>
      </c>
      <c r="E100" s="6" t="str">
        <f t="shared" si="4"/>
        <v>XBI US Equity</v>
      </c>
      <c r="F100" s="5">
        <f t="shared" si="5"/>
        <v>-7.5864311260431666E-3</v>
      </c>
    </row>
    <row r="101" spans="1:6" x14ac:dyDescent="0.35">
      <c r="A101" s="10">
        <v>45434</v>
      </c>
      <c r="B101" s="9">
        <v>6.5523643114558106E-3</v>
      </c>
      <c r="D101" s="6" t="str">
        <f t="shared" si="3"/>
        <v>05/22/2024</v>
      </c>
      <c r="E101" s="6" t="str">
        <f t="shared" si="4"/>
        <v>XBI US Equity</v>
      </c>
      <c r="F101" s="5">
        <f t="shared" si="5"/>
        <v>6.5523643114558106E-3</v>
      </c>
    </row>
    <row r="102" spans="1:6" x14ac:dyDescent="0.35">
      <c r="A102" s="8">
        <v>45435</v>
      </c>
      <c r="B102" s="7">
        <v>-3.0921124009981649E-2</v>
      </c>
      <c r="D102" s="6" t="str">
        <f t="shared" si="3"/>
        <v>05/23/2024</v>
      </c>
      <c r="E102" s="6" t="str">
        <f t="shared" si="4"/>
        <v>XBI US Equity</v>
      </c>
      <c r="F102" s="5">
        <f t="shared" si="5"/>
        <v>-3.0921124009981649E-2</v>
      </c>
    </row>
    <row r="103" spans="1:6" x14ac:dyDescent="0.35">
      <c r="A103" s="10">
        <v>45436</v>
      </c>
      <c r="B103" s="9">
        <v>-5.4858934169278433E-3</v>
      </c>
      <c r="D103" s="6" t="str">
        <f t="shared" si="3"/>
        <v>05/24/2024</v>
      </c>
      <c r="E103" s="6" t="str">
        <f t="shared" si="4"/>
        <v>XBI US Equity</v>
      </c>
      <c r="F103" s="5">
        <f t="shared" si="5"/>
        <v>-5.4858934169278433E-3</v>
      </c>
    </row>
    <row r="104" spans="1:6" x14ac:dyDescent="0.35">
      <c r="A104" s="8">
        <v>45440</v>
      </c>
      <c r="B104" s="7">
        <v>3.3772374197905798E-3</v>
      </c>
      <c r="D104" s="6" t="str">
        <f t="shared" si="3"/>
        <v>05/28/2024</v>
      </c>
      <c r="E104" s="6" t="str">
        <f t="shared" si="4"/>
        <v>XBI US Equity</v>
      </c>
      <c r="F104" s="5">
        <f t="shared" si="5"/>
        <v>3.3772374197905798E-3</v>
      </c>
    </row>
    <row r="105" spans="1:6" x14ac:dyDescent="0.35">
      <c r="A105" s="10">
        <v>45441</v>
      </c>
      <c r="B105" s="9">
        <v>-1.8512285425782472E-2</v>
      </c>
      <c r="D105" s="6" t="str">
        <f t="shared" si="3"/>
        <v>05/29/2024</v>
      </c>
      <c r="E105" s="6" t="str">
        <f t="shared" si="4"/>
        <v>XBI US Equity</v>
      </c>
      <c r="F105" s="5">
        <f t="shared" si="5"/>
        <v>-1.8512285425782472E-2</v>
      </c>
    </row>
    <row r="106" spans="1:6" x14ac:dyDescent="0.35">
      <c r="A106" s="8">
        <v>45442</v>
      </c>
      <c r="B106" s="7">
        <v>1.6918152720621738E-2</v>
      </c>
      <c r="D106" s="6" t="str">
        <f t="shared" si="3"/>
        <v>05/30/2024</v>
      </c>
      <c r="E106" s="6" t="str">
        <f t="shared" si="4"/>
        <v>XBI US Equity</v>
      </c>
      <c r="F106" s="5">
        <f t="shared" si="5"/>
        <v>1.6918152720621738E-2</v>
      </c>
    </row>
    <row r="107" spans="1:6" x14ac:dyDescent="0.35">
      <c r="A107" s="10">
        <v>45443</v>
      </c>
      <c r="B107" s="9">
        <v>1.9109712230216021E-3</v>
      </c>
      <c r="D107" s="6" t="str">
        <f t="shared" si="3"/>
        <v>05/31/2024</v>
      </c>
      <c r="E107" s="6" t="str">
        <f t="shared" si="4"/>
        <v>XBI US Equity</v>
      </c>
      <c r="F107" s="5">
        <f t="shared" si="5"/>
        <v>1.9109712230216021E-3</v>
      </c>
    </row>
    <row r="108" spans="1:6" x14ac:dyDescent="0.35">
      <c r="A108" s="8">
        <v>45446</v>
      </c>
      <c r="B108" s="7">
        <v>2.5692808257601327E-2</v>
      </c>
      <c r="D108" s="6" t="str">
        <f t="shared" si="3"/>
        <v>06/03/2024</v>
      </c>
      <c r="E108" s="6" t="str">
        <f t="shared" si="4"/>
        <v>XBI US Equity</v>
      </c>
      <c r="F108" s="5">
        <f t="shared" si="5"/>
        <v>2.5692808257601327E-2</v>
      </c>
    </row>
    <row r="109" spans="1:6" x14ac:dyDescent="0.35">
      <c r="A109" s="10">
        <v>45447</v>
      </c>
      <c r="B109" s="9">
        <v>-2.7346313716910958E-3</v>
      </c>
      <c r="D109" s="6" t="str">
        <f t="shared" si="3"/>
        <v>06/04/2024</v>
      </c>
      <c r="E109" s="6" t="str">
        <f t="shared" si="4"/>
        <v>XBI US Equity</v>
      </c>
      <c r="F109" s="5">
        <f t="shared" si="5"/>
        <v>-2.7346313716910958E-3</v>
      </c>
    </row>
    <row r="110" spans="1:6" x14ac:dyDescent="0.35">
      <c r="A110" s="8">
        <v>45448</v>
      </c>
      <c r="B110" s="7">
        <v>3.2357135022485495E-2</v>
      </c>
      <c r="D110" s="6" t="str">
        <f t="shared" si="3"/>
        <v>06/05/2024</v>
      </c>
      <c r="E110" s="6" t="str">
        <f t="shared" si="4"/>
        <v>XBI US Equity</v>
      </c>
      <c r="F110" s="5">
        <f t="shared" si="5"/>
        <v>3.2357135022485495E-2</v>
      </c>
    </row>
    <row r="111" spans="1:6" x14ac:dyDescent="0.35">
      <c r="A111" s="10">
        <v>45449</v>
      </c>
      <c r="B111" s="9">
        <v>-1.3812154696132718E-2</v>
      </c>
      <c r="D111" s="6" t="str">
        <f t="shared" si="3"/>
        <v>06/06/2024</v>
      </c>
      <c r="E111" s="6" t="str">
        <f t="shared" si="4"/>
        <v>XBI US Equity</v>
      </c>
      <c r="F111" s="5">
        <f t="shared" si="5"/>
        <v>-1.3812154696132718E-2</v>
      </c>
    </row>
    <row r="112" spans="1:6" x14ac:dyDescent="0.35">
      <c r="A112" s="8">
        <v>45450</v>
      </c>
      <c r="B112" s="7">
        <v>-1.5406162464985915E-2</v>
      </c>
      <c r="D112" s="6" t="str">
        <f t="shared" si="3"/>
        <v>06/07/2024</v>
      </c>
      <c r="E112" s="6" t="str">
        <f t="shared" si="4"/>
        <v>XBI US Equity</v>
      </c>
      <c r="F112" s="5">
        <f t="shared" si="5"/>
        <v>-1.5406162464985915E-2</v>
      </c>
    </row>
    <row r="113" spans="1:6" x14ac:dyDescent="0.35">
      <c r="A113" s="10">
        <v>45453</v>
      </c>
      <c r="B113" s="9">
        <v>6.5652697231643976E-3</v>
      </c>
      <c r="D113" s="6" t="str">
        <f t="shared" si="3"/>
        <v>06/10/2024</v>
      </c>
      <c r="E113" s="6" t="str">
        <f t="shared" si="4"/>
        <v>XBI US Equity</v>
      </c>
      <c r="F113" s="5">
        <f t="shared" si="5"/>
        <v>6.5652697231643976E-3</v>
      </c>
    </row>
    <row r="114" spans="1:6" x14ac:dyDescent="0.35">
      <c r="A114" s="8">
        <v>45454</v>
      </c>
      <c r="B114" s="7">
        <v>5.1092510055440691E-3</v>
      </c>
      <c r="D114" s="6" t="str">
        <f t="shared" si="3"/>
        <v>06/11/2024</v>
      </c>
      <c r="E114" s="6" t="str">
        <f t="shared" si="4"/>
        <v>XBI US Equity</v>
      </c>
      <c r="F114" s="5">
        <f t="shared" si="5"/>
        <v>5.1092510055440691E-3</v>
      </c>
    </row>
    <row r="115" spans="1:6" x14ac:dyDescent="0.35">
      <c r="A115" s="10">
        <v>45455</v>
      </c>
      <c r="B115" s="9">
        <v>1.4709063378758377E-2</v>
      </c>
      <c r="D115" s="6" t="str">
        <f t="shared" si="3"/>
        <v>06/12/2024</v>
      </c>
      <c r="E115" s="6" t="str">
        <f t="shared" si="4"/>
        <v>XBI US Equity</v>
      </c>
      <c r="F115" s="5">
        <f t="shared" si="5"/>
        <v>1.4709063378758377E-2</v>
      </c>
    </row>
    <row r="116" spans="1:6" x14ac:dyDescent="0.35">
      <c r="A116" s="8">
        <v>45456</v>
      </c>
      <c r="B116" s="7">
        <v>0</v>
      </c>
      <c r="D116" s="6" t="str">
        <f t="shared" si="3"/>
        <v>06/13/2024</v>
      </c>
      <c r="E116" s="6" t="str">
        <f t="shared" si="4"/>
        <v>XBI US Equity</v>
      </c>
      <c r="F116" s="5">
        <f t="shared" si="5"/>
        <v>0</v>
      </c>
    </row>
    <row r="117" spans="1:6" x14ac:dyDescent="0.35">
      <c r="A117" s="10">
        <v>45457</v>
      </c>
      <c r="B117" s="9">
        <v>-2.2063525900660769E-2</v>
      </c>
      <c r="D117" s="6" t="str">
        <f t="shared" si="3"/>
        <v>06/14/2024</v>
      </c>
      <c r="E117" s="6" t="str">
        <f t="shared" si="4"/>
        <v>XBI US Equity</v>
      </c>
      <c r="F117" s="5">
        <f t="shared" si="5"/>
        <v>-2.2063525900660769E-2</v>
      </c>
    </row>
    <row r="118" spans="1:6" x14ac:dyDescent="0.35">
      <c r="A118" s="8">
        <v>45460</v>
      </c>
      <c r="B118" s="7">
        <v>-1.2643051771117129E-2</v>
      </c>
      <c r="D118" s="6" t="str">
        <f t="shared" si="3"/>
        <v>06/17/2024</v>
      </c>
      <c r="E118" s="6" t="str">
        <f t="shared" si="4"/>
        <v>XBI US Equity</v>
      </c>
      <c r="F118" s="5">
        <f t="shared" si="5"/>
        <v>-1.2643051771117129E-2</v>
      </c>
    </row>
    <row r="119" spans="1:6" x14ac:dyDescent="0.35">
      <c r="A119" s="10">
        <v>45461</v>
      </c>
      <c r="B119" s="9">
        <v>-9.8244839386245775E-3</v>
      </c>
      <c r="D119" s="6" t="str">
        <f t="shared" si="3"/>
        <v>06/18/2024</v>
      </c>
      <c r="E119" s="6" t="str">
        <f t="shared" si="4"/>
        <v>XBI US Equity</v>
      </c>
      <c r="F119" s="5">
        <f t="shared" si="5"/>
        <v>-9.8244839386245775E-3</v>
      </c>
    </row>
    <row r="120" spans="1:6" x14ac:dyDescent="0.35">
      <c r="A120" s="8">
        <v>45463</v>
      </c>
      <c r="B120" s="7">
        <v>2.1181716833890492E-3</v>
      </c>
      <c r="D120" s="6" t="str">
        <f t="shared" si="3"/>
        <v>06/20/2024</v>
      </c>
      <c r="E120" s="6" t="str">
        <f t="shared" si="4"/>
        <v>XBI US Equity</v>
      </c>
      <c r="F120" s="5">
        <f t="shared" si="5"/>
        <v>2.1181716833890492E-3</v>
      </c>
    </row>
    <row r="121" spans="1:6" x14ac:dyDescent="0.35">
      <c r="A121" s="10">
        <v>45464</v>
      </c>
      <c r="B121" s="9">
        <v>2.7700522861274834E-2</v>
      </c>
      <c r="D121" s="6" t="str">
        <f t="shared" si="3"/>
        <v>06/21/2024</v>
      </c>
      <c r="E121" s="6" t="str">
        <f t="shared" si="4"/>
        <v>XBI US Equity</v>
      </c>
      <c r="F121" s="5">
        <f t="shared" si="5"/>
        <v>2.7700522861274834E-2</v>
      </c>
    </row>
    <row r="122" spans="1:6" x14ac:dyDescent="0.35">
      <c r="A122" s="8">
        <v>45467</v>
      </c>
      <c r="B122" s="7">
        <v>1.5964299631955021E-2</v>
      </c>
      <c r="D122" s="6" t="str">
        <f t="shared" si="3"/>
        <v>06/24/2024</v>
      </c>
      <c r="E122" s="6" t="str">
        <f t="shared" si="4"/>
        <v>XBI US Equity</v>
      </c>
      <c r="F122" s="5">
        <f t="shared" si="5"/>
        <v>1.5964299631955021E-2</v>
      </c>
    </row>
    <row r="123" spans="1:6" x14ac:dyDescent="0.35">
      <c r="A123" s="10">
        <v>45468</v>
      </c>
      <c r="B123" s="9">
        <v>-7.0407510134414429E-3</v>
      </c>
      <c r="D123" s="6" t="str">
        <f t="shared" si="3"/>
        <v>06/25/2024</v>
      </c>
      <c r="E123" s="6" t="str">
        <f t="shared" si="4"/>
        <v>XBI US Equity</v>
      </c>
      <c r="F123" s="5">
        <f t="shared" si="5"/>
        <v>-7.0407510134414429E-3</v>
      </c>
    </row>
    <row r="124" spans="1:6" x14ac:dyDescent="0.35">
      <c r="A124" s="8">
        <v>45469</v>
      </c>
      <c r="B124" s="7">
        <v>-9.5616673828964639E-3</v>
      </c>
      <c r="D124" s="6" t="str">
        <f t="shared" si="3"/>
        <v>06/26/2024</v>
      </c>
      <c r="E124" s="6" t="str">
        <f t="shared" si="4"/>
        <v>XBI US Equity</v>
      </c>
      <c r="F124" s="5">
        <f t="shared" si="5"/>
        <v>-9.5616673828964639E-3</v>
      </c>
    </row>
    <row r="125" spans="1:6" x14ac:dyDescent="0.35">
      <c r="A125" s="10">
        <v>45470</v>
      </c>
      <c r="B125" s="9">
        <v>7.2675995227249384E-3</v>
      </c>
      <c r="D125" s="6" t="str">
        <f t="shared" si="3"/>
        <v>06/27/2024</v>
      </c>
      <c r="E125" s="6" t="str">
        <f t="shared" si="4"/>
        <v>XBI US Equity</v>
      </c>
      <c r="F125" s="5">
        <f t="shared" si="5"/>
        <v>7.2675995227249384E-3</v>
      </c>
    </row>
    <row r="126" spans="1:6" x14ac:dyDescent="0.35">
      <c r="A126" s="8">
        <v>45471</v>
      </c>
      <c r="B126" s="7">
        <v>-1.6153349127720417E-3</v>
      </c>
      <c r="D126" s="6" t="str">
        <f t="shared" si="3"/>
        <v>06/28/2024</v>
      </c>
      <c r="E126" s="6" t="str">
        <f t="shared" si="4"/>
        <v>XBI US Equity</v>
      </c>
      <c r="F126" s="5">
        <f t="shared" si="5"/>
        <v>-1.6153349127720417E-3</v>
      </c>
    </row>
    <row r="127" spans="1:6" x14ac:dyDescent="0.35">
      <c r="A127" s="10">
        <v>45474</v>
      </c>
      <c r="B127" s="9">
        <v>3.5594865710280943E-3</v>
      </c>
      <c r="D127" s="6" t="str">
        <f t="shared" si="3"/>
        <v>07/01/2024</v>
      </c>
      <c r="E127" s="6" t="str">
        <f t="shared" si="4"/>
        <v>XBI US Equity</v>
      </c>
      <c r="F127" s="5">
        <f t="shared" si="5"/>
        <v>3.5594865710280943E-3</v>
      </c>
    </row>
    <row r="128" spans="1:6" x14ac:dyDescent="0.35">
      <c r="A128" s="8">
        <v>45475</v>
      </c>
      <c r="B128" s="7">
        <v>-1.8056749785038771E-2</v>
      </c>
      <c r="D128" s="6" t="str">
        <f t="shared" si="3"/>
        <v>07/02/2024</v>
      </c>
      <c r="E128" s="6" t="str">
        <f t="shared" si="4"/>
        <v>XBI US Equity</v>
      </c>
      <c r="F128" s="5">
        <f t="shared" si="5"/>
        <v>-1.8056749785038771E-2</v>
      </c>
    </row>
    <row r="129" spans="1:6" x14ac:dyDescent="0.35">
      <c r="A129" s="10">
        <v>45476</v>
      </c>
      <c r="B129" s="9">
        <v>-5.3633975481610667E-3</v>
      </c>
      <c r="D129" s="6" t="str">
        <f t="shared" si="3"/>
        <v>07/03/2024</v>
      </c>
      <c r="E129" s="6" t="str">
        <f t="shared" si="4"/>
        <v>XBI US Equity</v>
      </c>
      <c r="F129" s="5">
        <f t="shared" si="5"/>
        <v>-5.3633975481610667E-3</v>
      </c>
    </row>
    <row r="130" spans="1:6" x14ac:dyDescent="0.35">
      <c r="A130" s="8">
        <v>45478</v>
      </c>
      <c r="B130" s="7">
        <v>9.2439749092108441E-3</v>
      </c>
      <c r="D130" s="6" t="str">
        <f t="shared" si="3"/>
        <v>07/05/2024</v>
      </c>
      <c r="E130" s="6" t="str">
        <f t="shared" si="4"/>
        <v>XBI US Equity</v>
      </c>
      <c r="F130" s="5">
        <f t="shared" si="5"/>
        <v>9.2439749092108441E-3</v>
      </c>
    </row>
    <row r="131" spans="1:6" x14ac:dyDescent="0.35">
      <c r="A131" s="10">
        <v>45481</v>
      </c>
      <c r="B131" s="9">
        <v>1.6573983207938205E-2</v>
      </c>
      <c r="D131" s="6" t="str">
        <f t="shared" ref="D131:D194" si="6">IF(A131 =  "", "",  TEXT(A131, "mm/dd/yyyy"))</f>
        <v>07/08/2024</v>
      </c>
      <c r="E131" s="6" t="str">
        <f t="shared" ref="E131:E194" si="7">IF(A131="", "", EntityLocal)</f>
        <v>XBI US Equity</v>
      </c>
      <c r="F131" s="5">
        <f t="shared" ref="F131:F194" si="8">IF(B131="","", B131)</f>
        <v>1.6573983207938205E-2</v>
      </c>
    </row>
    <row r="132" spans="1:6" x14ac:dyDescent="0.35">
      <c r="A132" s="8">
        <v>45482</v>
      </c>
      <c r="B132" s="7">
        <v>1.2227823661911391E-2</v>
      </c>
      <c r="D132" s="6" t="str">
        <f t="shared" si="6"/>
        <v>07/09/2024</v>
      </c>
      <c r="E132" s="6" t="str">
        <f t="shared" si="7"/>
        <v>XBI US Equity</v>
      </c>
      <c r="F132" s="5">
        <f t="shared" si="8"/>
        <v>1.2227823661911391E-2</v>
      </c>
    </row>
    <row r="133" spans="1:6" x14ac:dyDescent="0.35">
      <c r="A133" s="10">
        <v>45483</v>
      </c>
      <c r="B133" s="9">
        <v>1.1762212567553179E-2</v>
      </c>
      <c r="D133" s="6" t="str">
        <f t="shared" si="6"/>
        <v>07/10/2024</v>
      </c>
      <c r="E133" s="6" t="str">
        <f t="shared" si="7"/>
        <v>XBI US Equity</v>
      </c>
      <c r="F133" s="5">
        <f t="shared" si="8"/>
        <v>1.1762212567553179E-2</v>
      </c>
    </row>
    <row r="134" spans="1:6" x14ac:dyDescent="0.35">
      <c r="A134" s="8">
        <v>45484</v>
      </c>
      <c r="B134" s="7">
        <v>2.5974025974025917E-2</v>
      </c>
      <c r="D134" s="6" t="str">
        <f t="shared" si="6"/>
        <v>07/11/2024</v>
      </c>
      <c r="E134" s="6" t="str">
        <f t="shared" si="7"/>
        <v>XBI US Equity</v>
      </c>
      <c r="F134" s="5">
        <f t="shared" si="8"/>
        <v>2.5974025974025917E-2</v>
      </c>
    </row>
    <row r="135" spans="1:6" x14ac:dyDescent="0.35">
      <c r="A135" s="10">
        <v>45485</v>
      </c>
      <c r="B135" s="9">
        <v>1.0208248264597777E-2</v>
      </c>
      <c r="D135" s="6" t="str">
        <f t="shared" si="6"/>
        <v>07/12/2024</v>
      </c>
      <c r="E135" s="6" t="str">
        <f t="shared" si="7"/>
        <v>XBI US Equity</v>
      </c>
      <c r="F135" s="5">
        <f t="shared" si="8"/>
        <v>1.0208248264597777E-2</v>
      </c>
    </row>
    <row r="136" spans="1:6" x14ac:dyDescent="0.35">
      <c r="A136" s="8">
        <v>45488</v>
      </c>
      <c r="B136" s="7">
        <v>9.4987873888441425E-3</v>
      </c>
      <c r="D136" s="6" t="str">
        <f t="shared" si="6"/>
        <v>07/15/2024</v>
      </c>
      <c r="E136" s="6" t="str">
        <f t="shared" si="7"/>
        <v>XBI US Equity</v>
      </c>
      <c r="F136" s="5">
        <f t="shared" si="8"/>
        <v>9.4987873888441425E-3</v>
      </c>
    </row>
    <row r="137" spans="1:6" x14ac:dyDescent="0.35">
      <c r="A137" s="10">
        <v>45489</v>
      </c>
      <c r="B137" s="9">
        <v>1.9519519519519347E-2</v>
      </c>
      <c r="D137" s="6" t="str">
        <f t="shared" si="6"/>
        <v>07/16/2024</v>
      </c>
      <c r="E137" s="6" t="str">
        <f t="shared" si="7"/>
        <v>XBI US Equity</v>
      </c>
      <c r="F137" s="5">
        <f t="shared" si="8"/>
        <v>1.9519519519519347E-2</v>
      </c>
    </row>
    <row r="138" spans="1:6" x14ac:dyDescent="0.35">
      <c r="A138" s="8">
        <v>45490</v>
      </c>
      <c r="B138" s="7">
        <v>-2.0127638684339675E-2</v>
      </c>
      <c r="D138" s="6" t="str">
        <f t="shared" si="6"/>
        <v>07/17/2024</v>
      </c>
      <c r="E138" s="6" t="str">
        <f t="shared" si="7"/>
        <v>XBI US Equity</v>
      </c>
      <c r="F138" s="5">
        <f t="shared" si="8"/>
        <v>-2.0127638684339675E-2</v>
      </c>
    </row>
    <row r="139" spans="1:6" x14ac:dyDescent="0.35">
      <c r="A139" s="10">
        <v>45491</v>
      </c>
      <c r="B139" s="9">
        <v>-2.2645290581162221E-2</v>
      </c>
      <c r="D139" s="6" t="str">
        <f t="shared" si="6"/>
        <v>07/18/2024</v>
      </c>
      <c r="E139" s="6" t="str">
        <f t="shared" si="7"/>
        <v>XBI US Equity</v>
      </c>
      <c r="F139" s="5">
        <f t="shared" si="8"/>
        <v>-2.2645290581162221E-2</v>
      </c>
    </row>
    <row r="140" spans="1:6" x14ac:dyDescent="0.35">
      <c r="A140" s="8">
        <v>45492</v>
      </c>
      <c r="B140" s="7">
        <v>-3.0756612671729746E-4</v>
      </c>
      <c r="D140" s="6" t="str">
        <f t="shared" si="6"/>
        <v>07/19/2024</v>
      </c>
      <c r="E140" s="6" t="str">
        <f t="shared" si="7"/>
        <v>XBI US Equity</v>
      </c>
      <c r="F140" s="5">
        <f t="shared" si="8"/>
        <v>-3.0756612671729746E-4</v>
      </c>
    </row>
    <row r="141" spans="1:6" x14ac:dyDescent="0.35">
      <c r="A141" s="10">
        <v>45495</v>
      </c>
      <c r="B141" s="9">
        <v>1.4152394626192163E-2</v>
      </c>
      <c r="D141" s="6" t="str">
        <f t="shared" si="6"/>
        <v>07/22/2024</v>
      </c>
      <c r="E141" s="6" t="str">
        <f t="shared" si="7"/>
        <v>XBI US Equity</v>
      </c>
      <c r="F141" s="5">
        <f t="shared" si="8"/>
        <v>1.4152394626192163E-2</v>
      </c>
    </row>
    <row r="142" spans="1:6" x14ac:dyDescent="0.35">
      <c r="A142" s="8">
        <v>45496</v>
      </c>
      <c r="B142" s="7">
        <v>8.7976539589443709E-3</v>
      </c>
      <c r="D142" s="6" t="str">
        <f t="shared" si="6"/>
        <v>07/23/2024</v>
      </c>
      <c r="E142" s="6" t="str">
        <f t="shared" si="7"/>
        <v>XBI US Equity</v>
      </c>
      <c r="F142" s="5">
        <f t="shared" si="8"/>
        <v>8.7976539589443709E-3</v>
      </c>
    </row>
    <row r="143" spans="1:6" x14ac:dyDescent="0.35">
      <c r="A143" s="10">
        <v>45497</v>
      </c>
      <c r="B143" s="9">
        <v>-7.217321571772223E-3</v>
      </c>
      <c r="D143" s="6" t="str">
        <f t="shared" si="6"/>
        <v>07/24/2024</v>
      </c>
      <c r="E143" s="6" t="str">
        <f t="shared" si="7"/>
        <v>XBI US Equity</v>
      </c>
      <c r="F143" s="5">
        <f t="shared" si="8"/>
        <v>-7.217321571772223E-3</v>
      </c>
    </row>
    <row r="144" spans="1:6" x14ac:dyDescent="0.35">
      <c r="A144" s="8">
        <v>45498</v>
      </c>
      <c r="B144" s="7">
        <v>1.9588045234248647E-2</v>
      </c>
      <c r="D144" s="6" t="str">
        <f t="shared" si="6"/>
        <v>07/25/2024</v>
      </c>
      <c r="E144" s="6" t="str">
        <f t="shared" si="7"/>
        <v>XBI US Equity</v>
      </c>
      <c r="F144" s="5">
        <f t="shared" si="8"/>
        <v>1.9588045234248647E-2</v>
      </c>
    </row>
    <row r="145" spans="1:6" x14ac:dyDescent="0.35">
      <c r="A145" s="10">
        <v>45499</v>
      </c>
      <c r="B145" s="9">
        <v>5.5456526044761582E-3</v>
      </c>
      <c r="D145" s="6" t="str">
        <f t="shared" si="6"/>
        <v>07/26/2024</v>
      </c>
      <c r="E145" s="6" t="str">
        <f t="shared" si="7"/>
        <v>XBI US Equity</v>
      </c>
      <c r="F145" s="5">
        <f t="shared" si="8"/>
        <v>5.5456526044761582E-3</v>
      </c>
    </row>
    <row r="146" spans="1:6" x14ac:dyDescent="0.35">
      <c r="A146" s="8">
        <v>45502</v>
      </c>
      <c r="B146" s="7">
        <v>-1.2507386251723483E-2</v>
      </c>
      <c r="D146" s="6" t="str">
        <f t="shared" si="6"/>
        <v>07/29/2024</v>
      </c>
      <c r="E146" s="6" t="str">
        <f t="shared" si="7"/>
        <v>XBI US Equity</v>
      </c>
      <c r="F146" s="5">
        <f t="shared" si="8"/>
        <v>-1.2507386251723483E-2</v>
      </c>
    </row>
    <row r="147" spans="1:6" x14ac:dyDescent="0.35">
      <c r="A147" s="10">
        <v>45503</v>
      </c>
      <c r="B147" s="9">
        <v>-1.2765533060736007E-2</v>
      </c>
      <c r="D147" s="6" t="str">
        <f t="shared" si="6"/>
        <v>07/30/2024</v>
      </c>
      <c r="E147" s="6" t="str">
        <f t="shared" si="7"/>
        <v>XBI US Equity</v>
      </c>
      <c r="F147" s="5">
        <f t="shared" si="8"/>
        <v>-1.2765533060736007E-2</v>
      </c>
    </row>
    <row r="148" spans="1:6" x14ac:dyDescent="0.35">
      <c r="A148" s="8">
        <v>45504</v>
      </c>
      <c r="B148" s="7">
        <v>7.0714213556932433E-4</v>
      </c>
      <c r="D148" s="6" t="str">
        <f t="shared" si="6"/>
        <v>07/31/2024</v>
      </c>
      <c r="E148" s="6" t="str">
        <f t="shared" si="7"/>
        <v>XBI US Equity</v>
      </c>
      <c r="F148" s="5">
        <f t="shared" si="8"/>
        <v>7.0714213556932433E-4</v>
      </c>
    </row>
    <row r="149" spans="1:6" x14ac:dyDescent="0.35">
      <c r="A149" s="10">
        <v>45505</v>
      </c>
      <c r="B149" s="9">
        <v>-3.9370078740157133E-3</v>
      </c>
      <c r="D149" s="6" t="str">
        <f t="shared" si="6"/>
        <v>08/01/2024</v>
      </c>
      <c r="E149" s="6" t="str">
        <f t="shared" si="7"/>
        <v>XBI US Equity</v>
      </c>
      <c r="F149" s="5">
        <f t="shared" si="8"/>
        <v>-3.9370078740157133E-3</v>
      </c>
    </row>
    <row r="150" spans="1:6" x14ac:dyDescent="0.35">
      <c r="A150" s="8">
        <v>45506</v>
      </c>
      <c r="B150" s="7">
        <v>-2.2296544035674545E-2</v>
      </c>
      <c r="D150" s="6" t="str">
        <f t="shared" si="6"/>
        <v>08/02/2024</v>
      </c>
      <c r="E150" s="6" t="str">
        <f t="shared" si="7"/>
        <v>XBI US Equity</v>
      </c>
      <c r="F150" s="5">
        <f t="shared" si="8"/>
        <v>-2.2296544035674545E-2</v>
      </c>
    </row>
    <row r="151" spans="1:6" x14ac:dyDescent="0.35">
      <c r="A151" s="10">
        <v>45509</v>
      </c>
      <c r="B151" s="9">
        <v>-3.1512387270654058E-2</v>
      </c>
      <c r="D151" s="6" t="str">
        <f t="shared" si="6"/>
        <v>08/05/2024</v>
      </c>
      <c r="E151" s="6" t="str">
        <f t="shared" si="7"/>
        <v>XBI US Equity</v>
      </c>
      <c r="F151" s="5">
        <f t="shared" si="8"/>
        <v>-3.1512387270654058E-2</v>
      </c>
    </row>
    <row r="152" spans="1:6" x14ac:dyDescent="0.35">
      <c r="A152" s="8">
        <v>45510</v>
      </c>
      <c r="B152" s="7">
        <v>1.0810232259445522E-2</v>
      </c>
      <c r="D152" s="6" t="str">
        <f t="shared" si="6"/>
        <v>08/06/2024</v>
      </c>
      <c r="E152" s="6" t="str">
        <f t="shared" si="7"/>
        <v>XBI US Equity</v>
      </c>
      <c r="F152" s="5">
        <f t="shared" si="8"/>
        <v>1.0810232259445522E-2</v>
      </c>
    </row>
    <row r="153" spans="1:6" x14ac:dyDescent="0.35">
      <c r="A153" s="10">
        <v>45511</v>
      </c>
      <c r="B153" s="9">
        <v>-2.2024565861922928E-2</v>
      </c>
      <c r="D153" s="6" t="str">
        <f t="shared" si="6"/>
        <v>08/07/2024</v>
      </c>
      <c r="E153" s="6" t="str">
        <f t="shared" si="7"/>
        <v>XBI US Equity</v>
      </c>
      <c r="F153" s="5">
        <f t="shared" si="8"/>
        <v>-2.2024565861922928E-2</v>
      </c>
    </row>
    <row r="154" spans="1:6" x14ac:dyDescent="0.35">
      <c r="A154" s="8">
        <v>45512</v>
      </c>
      <c r="B154" s="7">
        <v>2.8583802511909954E-2</v>
      </c>
      <c r="D154" s="6" t="str">
        <f t="shared" si="6"/>
        <v>08/08/2024</v>
      </c>
      <c r="E154" s="6" t="str">
        <f t="shared" si="7"/>
        <v>XBI US Equity</v>
      </c>
      <c r="F154" s="5">
        <f t="shared" si="8"/>
        <v>2.8583802511909954E-2</v>
      </c>
    </row>
    <row r="155" spans="1:6" x14ac:dyDescent="0.35">
      <c r="A155" s="10">
        <v>45513</v>
      </c>
      <c r="B155" s="9">
        <v>5.6842105263158775E-3</v>
      </c>
      <c r="D155" s="6" t="str">
        <f t="shared" si="6"/>
        <v>08/09/2024</v>
      </c>
      <c r="E155" s="6" t="str">
        <f t="shared" si="7"/>
        <v>XBI US Equity</v>
      </c>
      <c r="F155" s="5">
        <f t="shared" si="8"/>
        <v>5.6842105263158775E-3</v>
      </c>
    </row>
    <row r="156" spans="1:6" x14ac:dyDescent="0.35">
      <c r="A156" s="8">
        <v>45516</v>
      </c>
      <c r="B156" s="7">
        <v>2.8260414486078081E-3</v>
      </c>
      <c r="D156" s="6" t="str">
        <f t="shared" si="6"/>
        <v>08/12/2024</v>
      </c>
      <c r="E156" s="6" t="str">
        <f t="shared" si="7"/>
        <v>XBI US Equity</v>
      </c>
      <c r="F156" s="5">
        <f t="shared" si="8"/>
        <v>2.8260414486078081E-3</v>
      </c>
    </row>
    <row r="157" spans="1:6" x14ac:dyDescent="0.35">
      <c r="A157" s="10">
        <v>45517</v>
      </c>
      <c r="B157" s="9">
        <v>1.1898549211982036E-2</v>
      </c>
      <c r="D157" s="6" t="str">
        <f t="shared" si="6"/>
        <v>08/13/2024</v>
      </c>
      <c r="E157" s="6" t="str">
        <f t="shared" si="7"/>
        <v>XBI US Equity</v>
      </c>
      <c r="F157" s="5">
        <f t="shared" si="8"/>
        <v>1.1898549211982036E-2</v>
      </c>
    </row>
    <row r="158" spans="1:6" x14ac:dyDescent="0.35">
      <c r="A158" s="8">
        <v>45518</v>
      </c>
      <c r="B158" s="7">
        <v>-8.8705518308406159E-3</v>
      </c>
      <c r="D158" s="6" t="str">
        <f t="shared" si="6"/>
        <v>08/14/2024</v>
      </c>
      <c r="E158" s="6" t="str">
        <f t="shared" si="7"/>
        <v>XBI US Equity</v>
      </c>
      <c r="F158" s="5">
        <f t="shared" si="8"/>
        <v>-8.8705518308406159E-3</v>
      </c>
    </row>
    <row r="159" spans="1:6" x14ac:dyDescent="0.35">
      <c r="A159" s="10">
        <v>45519</v>
      </c>
      <c r="B159" s="9">
        <v>1.6859194505151387E-2</v>
      </c>
      <c r="D159" s="6" t="str">
        <f t="shared" si="6"/>
        <v>08/15/2024</v>
      </c>
      <c r="E159" s="6" t="str">
        <f t="shared" si="7"/>
        <v>XBI US Equity</v>
      </c>
      <c r="F159" s="5">
        <f t="shared" si="8"/>
        <v>1.6859194505151387E-2</v>
      </c>
    </row>
    <row r="160" spans="1:6" x14ac:dyDescent="0.35">
      <c r="A160" s="8">
        <v>45520</v>
      </c>
      <c r="B160" s="7">
        <v>6.1406202026400777E-4</v>
      </c>
      <c r="D160" s="6" t="str">
        <f t="shared" si="6"/>
        <v>08/16/2024</v>
      </c>
      <c r="E160" s="6" t="str">
        <f t="shared" si="7"/>
        <v>XBI US Equity</v>
      </c>
      <c r="F160" s="5">
        <f t="shared" si="8"/>
        <v>6.1406202026400777E-4</v>
      </c>
    </row>
    <row r="161" spans="1:6" x14ac:dyDescent="0.35">
      <c r="A161" s="10">
        <v>45523</v>
      </c>
      <c r="B161" s="9">
        <v>3.1502505881149633E-2</v>
      </c>
      <c r="D161" s="6" t="str">
        <f t="shared" si="6"/>
        <v>08/19/2024</v>
      </c>
      <c r="E161" s="6" t="str">
        <f t="shared" si="7"/>
        <v>XBI US Equity</v>
      </c>
      <c r="F161" s="5">
        <f t="shared" si="8"/>
        <v>3.1502505881149633E-2</v>
      </c>
    </row>
    <row r="162" spans="1:6" x14ac:dyDescent="0.35">
      <c r="A162" s="8">
        <v>45524</v>
      </c>
      <c r="B162" s="7">
        <v>-1.9831432821015374E-4</v>
      </c>
      <c r="D162" s="6" t="str">
        <f t="shared" si="6"/>
        <v>08/20/2024</v>
      </c>
      <c r="E162" s="6" t="str">
        <f t="shared" si="7"/>
        <v>XBI US Equity</v>
      </c>
      <c r="F162" s="5">
        <f t="shared" si="8"/>
        <v>-1.9831432821015374E-4</v>
      </c>
    </row>
    <row r="163" spans="1:6" x14ac:dyDescent="0.35">
      <c r="A163" s="10">
        <v>45525</v>
      </c>
      <c r="B163" s="9">
        <v>9.8185063969055547E-3</v>
      </c>
      <c r="D163" s="6" t="str">
        <f t="shared" si="6"/>
        <v>08/21/2024</v>
      </c>
      <c r="E163" s="6" t="str">
        <f t="shared" si="7"/>
        <v>XBI US Equity</v>
      </c>
      <c r="F163" s="5">
        <f t="shared" si="8"/>
        <v>9.8185063969055547E-3</v>
      </c>
    </row>
    <row r="164" spans="1:6" x14ac:dyDescent="0.35">
      <c r="A164" s="8">
        <v>45526</v>
      </c>
      <c r="B164" s="7">
        <v>-1.6499705362404176E-2</v>
      </c>
      <c r="D164" s="6" t="str">
        <f t="shared" si="6"/>
        <v>08/22/2024</v>
      </c>
      <c r="E164" s="6" t="str">
        <f t="shared" si="7"/>
        <v>XBI US Equity</v>
      </c>
      <c r="F164" s="5">
        <f t="shared" si="8"/>
        <v>-1.6499705362404176E-2</v>
      </c>
    </row>
    <row r="165" spans="1:6" x14ac:dyDescent="0.35">
      <c r="A165" s="10">
        <v>45527</v>
      </c>
      <c r="B165" s="9">
        <v>1.3680846814459909E-2</v>
      </c>
      <c r="D165" s="6" t="str">
        <f t="shared" si="6"/>
        <v>08/23/2024</v>
      </c>
      <c r="E165" s="6" t="str">
        <f t="shared" si="7"/>
        <v>XBI US Equity</v>
      </c>
      <c r="F165" s="5">
        <f t="shared" si="8"/>
        <v>1.3680846814459909E-2</v>
      </c>
    </row>
    <row r="166" spans="1:6" x14ac:dyDescent="0.35">
      <c r="A166" s="8">
        <v>45530</v>
      </c>
      <c r="B166" s="7">
        <v>1.8717367747019978E-3</v>
      </c>
      <c r="D166" s="6" t="str">
        <f t="shared" si="6"/>
        <v>08/26/2024</v>
      </c>
      <c r="E166" s="6" t="str">
        <f t="shared" si="7"/>
        <v>XBI US Equity</v>
      </c>
      <c r="F166" s="5">
        <f t="shared" si="8"/>
        <v>1.8717367747019978E-3</v>
      </c>
    </row>
    <row r="167" spans="1:6" x14ac:dyDescent="0.35">
      <c r="A167" s="10">
        <v>45531</v>
      </c>
      <c r="B167" s="9">
        <v>-6.1946902654868219E-3</v>
      </c>
      <c r="D167" s="6" t="str">
        <f t="shared" si="6"/>
        <v>08/27/2024</v>
      </c>
      <c r="E167" s="6" t="str">
        <f t="shared" si="7"/>
        <v>XBI US Equity</v>
      </c>
      <c r="F167" s="5">
        <f t="shared" si="8"/>
        <v>-6.1946902654868219E-3</v>
      </c>
    </row>
    <row r="168" spans="1:6" x14ac:dyDescent="0.35">
      <c r="A168" s="8">
        <v>45532</v>
      </c>
      <c r="B168" s="7">
        <v>-5.2438903730087786E-3</v>
      </c>
      <c r="D168" s="6" t="str">
        <f t="shared" si="6"/>
        <v>08/28/2024</v>
      </c>
      <c r="E168" s="6" t="str">
        <f t="shared" si="7"/>
        <v>XBI US Equity</v>
      </c>
      <c r="F168" s="5">
        <f t="shared" si="8"/>
        <v>-5.2438903730087786E-3</v>
      </c>
    </row>
    <row r="169" spans="1:6" x14ac:dyDescent="0.35">
      <c r="A169" s="10">
        <v>45533</v>
      </c>
      <c r="B169" s="9">
        <v>3.6801273125123182E-3</v>
      </c>
      <c r="D169" s="6" t="str">
        <f t="shared" si="6"/>
        <v>08/29/2024</v>
      </c>
      <c r="E169" s="6" t="str">
        <f t="shared" si="7"/>
        <v>XBI US Equity</v>
      </c>
      <c r="F169" s="5">
        <f t="shared" si="8"/>
        <v>3.6801273125123182E-3</v>
      </c>
    </row>
    <row r="170" spans="1:6" x14ac:dyDescent="0.35">
      <c r="A170" s="8">
        <v>45534</v>
      </c>
      <c r="B170" s="7">
        <v>3.4684372212863803E-3</v>
      </c>
      <c r="D170" s="6" t="str">
        <f t="shared" si="6"/>
        <v>08/30/2024</v>
      </c>
      <c r="E170" s="6" t="str">
        <f t="shared" si="7"/>
        <v>XBI US Equity</v>
      </c>
      <c r="F170" s="5">
        <f t="shared" si="8"/>
        <v>3.4684372212863803E-3</v>
      </c>
    </row>
    <row r="171" spans="1:6" x14ac:dyDescent="0.35">
      <c r="A171" s="10">
        <v>45538</v>
      </c>
      <c r="B171" s="9">
        <v>-2.5676476397392862E-2</v>
      </c>
      <c r="D171" s="6" t="str">
        <f t="shared" si="6"/>
        <v>09/03/2024</v>
      </c>
      <c r="E171" s="6" t="str">
        <f t="shared" si="7"/>
        <v>XBI US Equity</v>
      </c>
      <c r="F171" s="5">
        <f t="shared" si="8"/>
        <v>-2.5676476397392862E-2</v>
      </c>
    </row>
    <row r="172" spans="1:6" x14ac:dyDescent="0.35">
      <c r="A172" s="8">
        <v>45539</v>
      </c>
      <c r="B172" s="7">
        <v>-1.4190147982971885E-3</v>
      </c>
      <c r="D172" s="6" t="str">
        <f t="shared" si="6"/>
        <v>09/04/2024</v>
      </c>
      <c r="E172" s="6" t="str">
        <f t="shared" si="7"/>
        <v>XBI US Equity</v>
      </c>
      <c r="F172" s="5">
        <f t="shared" si="8"/>
        <v>-1.4190147982971885E-3</v>
      </c>
    </row>
    <row r="173" spans="1:6" x14ac:dyDescent="0.35">
      <c r="A173" s="10">
        <v>45540</v>
      </c>
      <c r="B173" s="9">
        <v>-4.4660982541615494E-3</v>
      </c>
      <c r="D173" s="6" t="str">
        <f t="shared" si="6"/>
        <v>09/05/2024</v>
      </c>
      <c r="E173" s="6" t="str">
        <f t="shared" si="7"/>
        <v>XBI US Equity</v>
      </c>
      <c r="F173" s="5">
        <f t="shared" si="8"/>
        <v>-4.4660982541615494E-3</v>
      </c>
    </row>
    <row r="174" spans="1:6" x14ac:dyDescent="0.35">
      <c r="A174" s="8">
        <v>45541</v>
      </c>
      <c r="B174" s="7">
        <v>-1.5905383360522028E-2</v>
      </c>
      <c r="D174" s="6" t="str">
        <f t="shared" si="6"/>
        <v>09/06/2024</v>
      </c>
      <c r="E174" s="6" t="str">
        <f t="shared" si="7"/>
        <v>XBI US Equity</v>
      </c>
      <c r="F174" s="5">
        <f t="shared" si="8"/>
        <v>-1.5905383360522028E-2</v>
      </c>
    </row>
    <row r="175" spans="1:6" x14ac:dyDescent="0.35">
      <c r="A175" s="10">
        <v>45544</v>
      </c>
      <c r="B175" s="9">
        <v>1.4193949440530469E-2</v>
      </c>
      <c r="D175" s="6" t="str">
        <f t="shared" si="6"/>
        <v>09/09/2024</v>
      </c>
      <c r="E175" s="6" t="str">
        <f t="shared" si="7"/>
        <v>XBI US Equity</v>
      </c>
      <c r="F175" s="5">
        <f t="shared" si="8"/>
        <v>1.4193949440530469E-2</v>
      </c>
    </row>
    <row r="176" spans="1:6" x14ac:dyDescent="0.35">
      <c r="A176" s="8">
        <v>45545</v>
      </c>
      <c r="B176" s="7">
        <v>2.1452650934722017E-3</v>
      </c>
      <c r="D176" s="6" t="str">
        <f t="shared" si="6"/>
        <v>09/10/2024</v>
      </c>
      <c r="E176" s="6" t="str">
        <f t="shared" si="7"/>
        <v>XBI US Equity</v>
      </c>
      <c r="F176" s="5">
        <f t="shared" si="8"/>
        <v>2.1452650934722017E-3</v>
      </c>
    </row>
    <row r="177" spans="1:6" x14ac:dyDescent="0.35">
      <c r="A177" s="10">
        <v>45546</v>
      </c>
      <c r="B177" s="9">
        <v>8.1549439347606088E-3</v>
      </c>
      <c r="D177" s="6" t="str">
        <f t="shared" si="6"/>
        <v>09/11/2024</v>
      </c>
      <c r="E177" s="6" t="str">
        <f t="shared" si="7"/>
        <v>XBI US Equity</v>
      </c>
      <c r="F177" s="5">
        <f t="shared" si="8"/>
        <v>8.1549439347606088E-3</v>
      </c>
    </row>
    <row r="178" spans="1:6" x14ac:dyDescent="0.35">
      <c r="A178" s="8">
        <v>45547</v>
      </c>
      <c r="B178" s="7">
        <v>1.617795753286093E-3</v>
      </c>
      <c r="D178" s="6" t="str">
        <f t="shared" si="6"/>
        <v>09/12/2024</v>
      </c>
      <c r="E178" s="6" t="str">
        <f t="shared" si="7"/>
        <v>XBI US Equity</v>
      </c>
      <c r="F178" s="5">
        <f t="shared" si="8"/>
        <v>1.617795753286093E-3</v>
      </c>
    </row>
    <row r="179" spans="1:6" x14ac:dyDescent="0.35">
      <c r="A179" s="10">
        <v>45548</v>
      </c>
      <c r="B179" s="9">
        <v>2.1704017767009833E-2</v>
      </c>
      <c r="D179" s="6" t="str">
        <f t="shared" si="6"/>
        <v>09/13/2024</v>
      </c>
      <c r="E179" s="6" t="str">
        <f t="shared" si="7"/>
        <v>XBI US Equity</v>
      </c>
      <c r="F179" s="5">
        <f t="shared" si="8"/>
        <v>2.1704017767009833E-2</v>
      </c>
    </row>
    <row r="180" spans="1:6" x14ac:dyDescent="0.35">
      <c r="A180" s="8">
        <v>45551</v>
      </c>
      <c r="B180" s="7">
        <v>6.9163126173310346E-4</v>
      </c>
      <c r="D180" s="6" t="str">
        <f t="shared" si="6"/>
        <v>09/16/2024</v>
      </c>
      <c r="E180" s="6" t="str">
        <f t="shared" si="7"/>
        <v>XBI US Equity</v>
      </c>
      <c r="F180" s="5">
        <f t="shared" si="8"/>
        <v>6.9163126173310346E-4</v>
      </c>
    </row>
    <row r="181" spans="1:6" x14ac:dyDescent="0.35">
      <c r="A181" s="10">
        <v>45552</v>
      </c>
      <c r="B181" s="9">
        <v>-3.2582938388625634E-3</v>
      </c>
      <c r="D181" s="6" t="str">
        <f t="shared" si="6"/>
        <v>09/17/2024</v>
      </c>
      <c r="E181" s="6" t="str">
        <f t="shared" si="7"/>
        <v>XBI US Equity</v>
      </c>
      <c r="F181" s="5">
        <f t="shared" si="8"/>
        <v>-3.2582938388625634E-3</v>
      </c>
    </row>
    <row r="182" spans="1:6" x14ac:dyDescent="0.35">
      <c r="A182" s="8">
        <v>45553</v>
      </c>
      <c r="B182" s="7">
        <v>-1.3868251609707835E-3</v>
      </c>
      <c r="D182" s="6" t="str">
        <f t="shared" si="6"/>
        <v>09/18/2024</v>
      </c>
      <c r="E182" s="6" t="str">
        <f t="shared" si="7"/>
        <v>XBI US Equity</v>
      </c>
      <c r="F182" s="5">
        <f t="shared" si="8"/>
        <v>-1.3868251609707835E-3</v>
      </c>
    </row>
    <row r="183" spans="1:6" x14ac:dyDescent="0.35">
      <c r="A183" s="10">
        <v>45554</v>
      </c>
      <c r="B183" s="9">
        <v>1.6069834341831134E-2</v>
      </c>
      <c r="D183" s="6" t="str">
        <f t="shared" si="6"/>
        <v>09/19/2024</v>
      </c>
      <c r="E183" s="6" t="str">
        <f t="shared" si="7"/>
        <v>XBI US Equity</v>
      </c>
      <c r="F183" s="5">
        <f t="shared" si="8"/>
        <v>1.6069834341831134E-2</v>
      </c>
    </row>
    <row r="184" spans="1:6" x14ac:dyDescent="0.35">
      <c r="A184" s="8">
        <v>45555</v>
      </c>
      <c r="B184" s="7">
        <v>-8.0054671482964919E-3</v>
      </c>
      <c r="D184" s="6" t="str">
        <f t="shared" si="6"/>
        <v>09/20/2024</v>
      </c>
      <c r="E184" s="6" t="str">
        <f t="shared" si="7"/>
        <v>XBI US Equity</v>
      </c>
      <c r="F184" s="5">
        <f t="shared" si="8"/>
        <v>-8.0054671482964919E-3</v>
      </c>
    </row>
    <row r="185" spans="1:6" x14ac:dyDescent="0.35">
      <c r="A185" s="10">
        <v>45558</v>
      </c>
      <c r="B185" s="9">
        <v>-2.3666686349768692E-2</v>
      </c>
      <c r="D185" s="6" t="str">
        <f t="shared" si="6"/>
        <v>09/23/2024</v>
      </c>
      <c r="E185" s="6" t="str">
        <f t="shared" si="7"/>
        <v>XBI US Equity</v>
      </c>
      <c r="F185" s="5">
        <f t="shared" si="8"/>
        <v>-2.3666686349768692E-2</v>
      </c>
    </row>
    <row r="186" spans="1:6" x14ac:dyDescent="0.35">
      <c r="A186" s="8">
        <v>45559</v>
      </c>
      <c r="B186" s="7">
        <v>-4.839197499747888E-3</v>
      </c>
      <c r="D186" s="6" t="str">
        <f t="shared" si="6"/>
        <v>09/24/2024</v>
      </c>
      <c r="E186" s="6" t="str">
        <f t="shared" si="7"/>
        <v>XBI US Equity</v>
      </c>
      <c r="F186" s="5">
        <f t="shared" si="8"/>
        <v>-4.839197499747888E-3</v>
      </c>
    </row>
    <row r="187" spans="1:6" x14ac:dyDescent="0.35">
      <c r="A187" s="10">
        <v>45560</v>
      </c>
      <c r="B187" s="9">
        <v>-9.7254584135345965E-3</v>
      </c>
      <c r="D187" s="6" t="str">
        <f t="shared" si="6"/>
        <v>09/25/2024</v>
      </c>
      <c r="E187" s="6" t="str">
        <f t="shared" si="7"/>
        <v>XBI US Equity</v>
      </c>
      <c r="F187" s="5">
        <f t="shared" si="8"/>
        <v>-9.7254584135345965E-3</v>
      </c>
    </row>
    <row r="188" spans="1:6" x14ac:dyDescent="0.35">
      <c r="A188" s="8">
        <v>45561</v>
      </c>
      <c r="B188" s="7">
        <v>4.5012787723785475E-3</v>
      </c>
      <c r="D188" s="6" t="str">
        <f t="shared" si="6"/>
        <v>09/26/2024</v>
      </c>
      <c r="E188" s="6" t="str">
        <f t="shared" si="7"/>
        <v>XBI US Equity</v>
      </c>
      <c r="F188" s="5">
        <f t="shared" si="8"/>
        <v>4.5012787723785475E-3</v>
      </c>
    </row>
    <row r="189" spans="1:6" x14ac:dyDescent="0.35">
      <c r="A189" s="10">
        <v>45562</v>
      </c>
      <c r="B189" s="9">
        <v>2.4442407577145988E-3</v>
      </c>
      <c r="D189" s="6" t="str">
        <f t="shared" si="6"/>
        <v>09/27/2024</v>
      </c>
      <c r="E189" s="6" t="str">
        <f t="shared" si="7"/>
        <v>XBI US Equity</v>
      </c>
      <c r="F189" s="5">
        <f t="shared" si="8"/>
        <v>2.4442407577145988E-3</v>
      </c>
    </row>
    <row r="190" spans="1:6" x14ac:dyDescent="0.35">
      <c r="A190" s="8">
        <v>45565</v>
      </c>
      <c r="B190" s="7">
        <v>3.7590165599918654E-3</v>
      </c>
      <c r="D190" s="6" t="str">
        <f t="shared" si="6"/>
        <v>09/30/2024</v>
      </c>
      <c r="E190" s="6" t="str">
        <f t="shared" si="7"/>
        <v>XBI US Equity</v>
      </c>
      <c r="F190" s="5">
        <f t="shared" si="8"/>
        <v>3.7590165599918654E-3</v>
      </c>
    </row>
    <row r="191" spans="1:6" x14ac:dyDescent="0.35">
      <c r="A191" s="10">
        <v>45566</v>
      </c>
      <c r="B191" s="9">
        <v>-8.4008097165991624E-3</v>
      </c>
      <c r="D191" s="6" t="str">
        <f t="shared" si="6"/>
        <v>10/01/2024</v>
      </c>
      <c r="E191" s="6" t="str">
        <f t="shared" si="7"/>
        <v>XBI US Equity</v>
      </c>
      <c r="F191" s="5">
        <f t="shared" si="8"/>
        <v>-8.4008097165991624E-3</v>
      </c>
    </row>
    <row r="192" spans="1:6" x14ac:dyDescent="0.35">
      <c r="A192" s="8">
        <v>45567</v>
      </c>
      <c r="B192" s="7">
        <v>1.2248647545166707E-3</v>
      </c>
      <c r="D192" s="6" t="str">
        <f t="shared" si="6"/>
        <v>10/02/2024</v>
      </c>
      <c r="E192" s="6" t="str">
        <f t="shared" si="7"/>
        <v>XBI US Equity</v>
      </c>
      <c r="F192" s="5">
        <f t="shared" si="8"/>
        <v>1.2248647545166707E-3</v>
      </c>
    </row>
    <row r="193" spans="1:6" x14ac:dyDescent="0.35">
      <c r="A193" s="10">
        <v>45568</v>
      </c>
      <c r="B193" s="9">
        <v>-1.4782342746457311E-2</v>
      </c>
      <c r="D193" s="6" t="str">
        <f t="shared" si="6"/>
        <v>10/03/2024</v>
      </c>
      <c r="E193" s="6" t="str">
        <f t="shared" si="7"/>
        <v>XBI US Equity</v>
      </c>
      <c r="F193" s="5">
        <f t="shared" si="8"/>
        <v>-1.4782342746457311E-2</v>
      </c>
    </row>
    <row r="194" spans="1:6" x14ac:dyDescent="0.35">
      <c r="A194" s="8">
        <v>45569</v>
      </c>
      <c r="B194" s="7">
        <v>9.002483443708624E-3</v>
      </c>
      <c r="D194" s="6" t="str">
        <f t="shared" si="6"/>
        <v>10/04/2024</v>
      </c>
      <c r="E194" s="6" t="str">
        <f t="shared" si="7"/>
        <v>XBI US Equity</v>
      </c>
      <c r="F194" s="5">
        <f t="shared" si="8"/>
        <v>9.002483443708624E-3</v>
      </c>
    </row>
    <row r="195" spans="1:6" x14ac:dyDescent="0.35">
      <c r="A195" s="10">
        <v>45572</v>
      </c>
      <c r="B195" s="9">
        <v>-1.2101322941236812E-2</v>
      </c>
      <c r="D195" s="6" t="str">
        <f t="shared" ref="D195:D258" si="9">IF(A195 =  "", "",  TEXT(A195, "mm/dd/yyyy"))</f>
        <v>10/07/2024</v>
      </c>
      <c r="E195" s="6" t="str">
        <f t="shared" ref="E195:E258" si="10">IF(A195="", "", EntityLocal)</f>
        <v>XBI US Equity</v>
      </c>
      <c r="F195" s="5">
        <f t="shared" ref="F195:F258" si="11">IF(B195="","", B195)</f>
        <v>-1.2101322941236812E-2</v>
      </c>
    </row>
    <row r="196" spans="1:6" x14ac:dyDescent="0.35">
      <c r="A196" s="8">
        <v>45573</v>
      </c>
      <c r="B196" s="7">
        <v>7.9933561714938036E-3</v>
      </c>
      <c r="D196" s="6" t="str">
        <f t="shared" si="9"/>
        <v>10/08/2024</v>
      </c>
      <c r="E196" s="6" t="str">
        <f t="shared" si="10"/>
        <v>XBI US Equity</v>
      </c>
      <c r="F196" s="5">
        <f t="shared" si="11"/>
        <v>7.9933561714938036E-3</v>
      </c>
    </row>
    <row r="197" spans="1:6" x14ac:dyDescent="0.35">
      <c r="A197" s="10">
        <v>45574</v>
      </c>
      <c r="B197" s="9">
        <v>-8.1359423274973541E-3</v>
      </c>
      <c r="D197" s="6" t="str">
        <f t="shared" si="9"/>
        <v>10/09/2024</v>
      </c>
      <c r="E197" s="6" t="str">
        <f t="shared" si="10"/>
        <v>XBI US Equity</v>
      </c>
      <c r="F197" s="5">
        <f t="shared" si="11"/>
        <v>-8.1359423274973541E-3</v>
      </c>
    </row>
    <row r="198" spans="1:6" x14ac:dyDescent="0.35">
      <c r="A198" s="8">
        <v>45575</v>
      </c>
      <c r="B198" s="7">
        <v>-9.3448240058158921E-4</v>
      </c>
      <c r="D198" s="6" t="str">
        <f t="shared" si="9"/>
        <v>10/10/2024</v>
      </c>
      <c r="E198" s="6" t="str">
        <f t="shared" si="10"/>
        <v>XBI US Equity</v>
      </c>
      <c r="F198" s="5">
        <f t="shared" si="11"/>
        <v>-9.3448240058158921E-4</v>
      </c>
    </row>
    <row r="199" spans="1:6" x14ac:dyDescent="0.35">
      <c r="A199" s="10">
        <v>45576</v>
      </c>
      <c r="B199" s="9">
        <v>2.556641030970699E-2</v>
      </c>
      <c r="D199" s="6" t="str">
        <f t="shared" si="9"/>
        <v>10/11/2024</v>
      </c>
      <c r="E199" s="6" t="str">
        <f t="shared" si="10"/>
        <v>XBI US Equity</v>
      </c>
      <c r="F199" s="5">
        <f t="shared" si="11"/>
        <v>2.556641030970699E-2</v>
      </c>
    </row>
    <row r="200" spans="1:6" x14ac:dyDescent="0.35">
      <c r="A200" s="8">
        <v>45579</v>
      </c>
      <c r="B200" s="7">
        <v>3.9521686258613123E-3</v>
      </c>
      <c r="D200" s="6" t="str">
        <f t="shared" si="9"/>
        <v>10/14/2024</v>
      </c>
      <c r="E200" s="6" t="str">
        <f t="shared" si="10"/>
        <v>XBI US Equity</v>
      </c>
      <c r="F200" s="5">
        <f t="shared" si="11"/>
        <v>3.9521686258613123E-3</v>
      </c>
    </row>
    <row r="201" spans="1:6" x14ac:dyDescent="0.35">
      <c r="A201" s="10">
        <v>45580</v>
      </c>
      <c r="B201" s="9">
        <v>2.4225295245786887E-3</v>
      </c>
      <c r="D201" s="6" t="str">
        <f t="shared" si="9"/>
        <v>10/15/2024</v>
      </c>
      <c r="E201" s="6" t="str">
        <f t="shared" si="10"/>
        <v>XBI US Equity</v>
      </c>
      <c r="F201" s="5">
        <f t="shared" si="11"/>
        <v>2.4225295245786887E-3</v>
      </c>
    </row>
    <row r="202" spans="1:6" x14ac:dyDescent="0.35">
      <c r="A202" s="8">
        <v>45581</v>
      </c>
      <c r="B202" s="7">
        <v>9.4653106434396412E-3</v>
      </c>
      <c r="D202" s="6" t="str">
        <f t="shared" si="9"/>
        <v>10/16/2024</v>
      </c>
      <c r="E202" s="6" t="str">
        <f t="shared" si="10"/>
        <v>XBI US Equity</v>
      </c>
      <c r="F202" s="5">
        <f t="shared" si="11"/>
        <v>9.4653106434396412E-3</v>
      </c>
    </row>
    <row r="203" spans="1:6" x14ac:dyDescent="0.35">
      <c r="A203" s="10">
        <v>45582</v>
      </c>
      <c r="B203" s="9">
        <v>-9.4763092269326242E-3</v>
      </c>
      <c r="D203" s="6" t="str">
        <f t="shared" si="9"/>
        <v>10/17/2024</v>
      </c>
      <c r="E203" s="6" t="str">
        <f t="shared" si="10"/>
        <v>XBI US Equity</v>
      </c>
      <c r="F203" s="5">
        <f t="shared" si="11"/>
        <v>-9.4763092269326242E-3</v>
      </c>
    </row>
    <row r="204" spans="1:6" x14ac:dyDescent="0.35">
      <c r="A204" s="8">
        <v>45583</v>
      </c>
      <c r="B204" s="7">
        <v>5.3373615307150228E-3</v>
      </c>
      <c r="D204" s="6" t="str">
        <f t="shared" si="9"/>
        <v>10/18/2024</v>
      </c>
      <c r="E204" s="6" t="str">
        <f t="shared" si="10"/>
        <v>XBI US Equity</v>
      </c>
      <c r="F204" s="5">
        <f t="shared" si="11"/>
        <v>5.3373615307150228E-3</v>
      </c>
    </row>
    <row r="205" spans="1:6" x14ac:dyDescent="0.35">
      <c r="A205" s="10">
        <v>45586</v>
      </c>
      <c r="B205" s="9">
        <v>-1.6828608634678992E-2</v>
      </c>
      <c r="D205" s="6" t="str">
        <f t="shared" si="9"/>
        <v>10/21/2024</v>
      </c>
      <c r="E205" s="6" t="str">
        <f t="shared" si="10"/>
        <v>XBI US Equity</v>
      </c>
      <c r="F205" s="5">
        <f t="shared" si="11"/>
        <v>-1.6828608634678992E-2</v>
      </c>
    </row>
    <row r="206" spans="1:6" x14ac:dyDescent="0.35">
      <c r="A206" s="8">
        <v>45587</v>
      </c>
      <c r="B206" s="7">
        <v>1.2226184411614695E-3</v>
      </c>
      <c r="D206" s="6" t="str">
        <f t="shared" si="9"/>
        <v>10/22/2024</v>
      </c>
      <c r="E206" s="6" t="str">
        <f t="shared" si="10"/>
        <v>XBI US Equity</v>
      </c>
      <c r="F206" s="5">
        <f t="shared" si="11"/>
        <v>1.2226184411614695E-3</v>
      </c>
    </row>
    <row r="207" spans="1:6" x14ac:dyDescent="0.35">
      <c r="A207" s="10">
        <v>45588</v>
      </c>
      <c r="B207" s="9">
        <v>-1.6281672941894733E-2</v>
      </c>
      <c r="D207" s="6" t="str">
        <f t="shared" si="9"/>
        <v>10/23/2024</v>
      </c>
      <c r="E207" s="6" t="str">
        <f t="shared" si="10"/>
        <v>XBI US Equity</v>
      </c>
      <c r="F207" s="5">
        <f t="shared" si="11"/>
        <v>-1.6281672941894733E-2</v>
      </c>
    </row>
    <row r="208" spans="1:6" x14ac:dyDescent="0.35">
      <c r="A208" s="8">
        <v>45589</v>
      </c>
      <c r="B208" s="7">
        <v>5.9997931105823547E-3</v>
      </c>
      <c r="D208" s="6" t="str">
        <f t="shared" si="9"/>
        <v>10/24/2024</v>
      </c>
      <c r="E208" s="6" t="str">
        <f t="shared" si="10"/>
        <v>XBI US Equity</v>
      </c>
      <c r="F208" s="5">
        <f t="shared" si="11"/>
        <v>5.9997931105823547E-3</v>
      </c>
    </row>
    <row r="209" spans="1:6" x14ac:dyDescent="0.35">
      <c r="A209" s="10">
        <v>45590</v>
      </c>
      <c r="B209" s="9">
        <v>-1.0282776349613272E-3</v>
      </c>
      <c r="D209" s="6" t="str">
        <f t="shared" si="9"/>
        <v>10/25/2024</v>
      </c>
      <c r="E209" s="6" t="str">
        <f t="shared" si="10"/>
        <v>XBI US Equity</v>
      </c>
      <c r="F209" s="5">
        <f t="shared" si="11"/>
        <v>-1.0282776349613272E-3</v>
      </c>
    </row>
    <row r="210" spans="1:6" x14ac:dyDescent="0.35">
      <c r="A210" s="8">
        <v>45593</v>
      </c>
      <c r="B210" s="7">
        <v>1.3793103448275756E-2</v>
      </c>
      <c r="D210" s="6" t="str">
        <f t="shared" si="9"/>
        <v>10/28/2024</v>
      </c>
      <c r="E210" s="6" t="str">
        <f t="shared" si="10"/>
        <v>XBI US Equity</v>
      </c>
      <c r="F210" s="5">
        <f t="shared" si="11"/>
        <v>1.3793103448275756E-2</v>
      </c>
    </row>
    <row r="211" spans="1:6" x14ac:dyDescent="0.35">
      <c r="A211" s="10">
        <v>45594</v>
      </c>
      <c r="B211" s="9">
        <v>7.1073205401567382E-4</v>
      </c>
      <c r="D211" s="6" t="str">
        <f t="shared" si="9"/>
        <v>10/29/2024</v>
      </c>
      <c r="E211" s="6" t="str">
        <f t="shared" si="10"/>
        <v>XBI US Equity</v>
      </c>
      <c r="F211" s="5">
        <f t="shared" si="11"/>
        <v>7.1073205401567382E-4</v>
      </c>
    </row>
    <row r="212" spans="1:6" x14ac:dyDescent="0.35">
      <c r="A212" s="8">
        <v>45595</v>
      </c>
      <c r="B212" s="7">
        <v>-1.4204545454546205E-3</v>
      </c>
      <c r="D212" s="6" t="str">
        <f t="shared" si="9"/>
        <v>10/30/2024</v>
      </c>
      <c r="E212" s="6" t="str">
        <f t="shared" si="10"/>
        <v>XBI US Equity</v>
      </c>
      <c r="F212" s="5">
        <f t="shared" si="11"/>
        <v>-1.4204545454546205E-3</v>
      </c>
    </row>
    <row r="213" spans="1:6" x14ac:dyDescent="0.35">
      <c r="A213" s="10">
        <v>45596</v>
      </c>
      <c r="B213" s="9">
        <v>-1.4123145702093056E-2</v>
      </c>
      <c r="D213" s="6" t="str">
        <f t="shared" si="9"/>
        <v>10/31/2024</v>
      </c>
      <c r="E213" s="6" t="str">
        <f t="shared" si="10"/>
        <v>XBI US Equity</v>
      </c>
      <c r="F213" s="5">
        <f t="shared" si="11"/>
        <v>-1.4123145702093056E-2</v>
      </c>
    </row>
    <row r="214" spans="1:6" x14ac:dyDescent="0.35">
      <c r="A214" s="8">
        <v>45597</v>
      </c>
      <c r="B214" s="7">
        <v>2.3085643615376742E-2</v>
      </c>
      <c r="D214" s="6" t="str">
        <f t="shared" si="9"/>
        <v>11/01/2024</v>
      </c>
      <c r="E214" s="6" t="str">
        <f t="shared" si="10"/>
        <v>XBI US Equity</v>
      </c>
      <c r="F214" s="5">
        <f t="shared" si="11"/>
        <v>2.3085643615376742E-2</v>
      </c>
    </row>
    <row r="215" spans="1:6" x14ac:dyDescent="0.35">
      <c r="A215" s="10">
        <v>45600</v>
      </c>
      <c r="B215" s="9">
        <v>-5.0367684093894152E-4</v>
      </c>
      <c r="D215" s="6" t="str">
        <f t="shared" si="9"/>
        <v>11/04/2024</v>
      </c>
      <c r="E215" s="6" t="str">
        <f t="shared" si="10"/>
        <v>XBI US Equity</v>
      </c>
      <c r="F215" s="5">
        <f t="shared" si="11"/>
        <v>-5.0367684093894152E-4</v>
      </c>
    </row>
    <row r="216" spans="1:6" x14ac:dyDescent="0.35">
      <c r="A216" s="8">
        <v>45601</v>
      </c>
      <c r="B216" s="7">
        <v>1.4110058455956635E-2</v>
      </c>
      <c r="D216" s="6" t="str">
        <f t="shared" si="9"/>
        <v>11/05/2024</v>
      </c>
      <c r="E216" s="6" t="str">
        <f t="shared" si="10"/>
        <v>XBI US Equity</v>
      </c>
      <c r="F216" s="5">
        <f t="shared" si="11"/>
        <v>1.4110058455956635E-2</v>
      </c>
    </row>
    <row r="217" spans="1:6" x14ac:dyDescent="0.35">
      <c r="A217" s="10">
        <v>45602</v>
      </c>
      <c r="B217" s="9">
        <v>1.8087855297157448E-2</v>
      </c>
      <c r="D217" s="6" t="str">
        <f t="shared" si="9"/>
        <v>11/06/2024</v>
      </c>
      <c r="E217" s="6" t="str">
        <f t="shared" si="10"/>
        <v>XBI US Equity</v>
      </c>
      <c r="F217" s="5">
        <f t="shared" si="11"/>
        <v>1.8087855297157448E-2</v>
      </c>
    </row>
    <row r="218" spans="1:6" x14ac:dyDescent="0.35">
      <c r="A218" s="8">
        <v>45603</v>
      </c>
      <c r="B218" s="7">
        <v>5.5642327215931851E-3</v>
      </c>
      <c r="D218" s="6" t="str">
        <f t="shared" si="9"/>
        <v>11/07/2024</v>
      </c>
      <c r="E218" s="6" t="str">
        <f t="shared" si="10"/>
        <v>XBI US Equity</v>
      </c>
      <c r="F218" s="5">
        <f t="shared" si="11"/>
        <v>5.5642327215931851E-3</v>
      </c>
    </row>
    <row r="219" spans="1:6" x14ac:dyDescent="0.35">
      <c r="A219" s="10">
        <v>45604</v>
      </c>
      <c r="B219" s="9">
        <v>1.1358120570818475E-2</v>
      </c>
      <c r="D219" s="6" t="str">
        <f t="shared" si="9"/>
        <v>11/08/2024</v>
      </c>
      <c r="E219" s="6" t="str">
        <f t="shared" si="10"/>
        <v>XBI US Equity</v>
      </c>
      <c r="F219" s="5">
        <f t="shared" si="11"/>
        <v>1.1358120570818475E-2</v>
      </c>
    </row>
    <row r="220" spans="1:6" x14ac:dyDescent="0.35">
      <c r="A220" s="8">
        <v>45607</v>
      </c>
      <c r="B220" s="7">
        <v>-6.2392013822232112E-3</v>
      </c>
      <c r="D220" s="6" t="str">
        <f t="shared" si="9"/>
        <v>11/11/2024</v>
      </c>
      <c r="E220" s="6" t="str">
        <f t="shared" si="10"/>
        <v>XBI US Equity</v>
      </c>
      <c r="F220" s="5">
        <f t="shared" si="11"/>
        <v>-6.2392013822232112E-3</v>
      </c>
    </row>
    <row r="221" spans="1:6" x14ac:dyDescent="0.35">
      <c r="A221" s="10">
        <v>45608</v>
      </c>
      <c r="B221" s="9">
        <v>-2.9170288805177181E-2</v>
      </c>
      <c r="D221" s="6" t="str">
        <f t="shared" si="9"/>
        <v>11/12/2024</v>
      </c>
      <c r="E221" s="6" t="str">
        <f t="shared" si="10"/>
        <v>XBI US Equity</v>
      </c>
      <c r="F221" s="5">
        <f t="shared" si="11"/>
        <v>-2.9170288805177181E-2</v>
      </c>
    </row>
    <row r="222" spans="1:6" x14ac:dyDescent="0.35">
      <c r="A222" s="8">
        <v>45609</v>
      </c>
      <c r="B222" s="7">
        <v>-4.9746293901104573E-3</v>
      </c>
      <c r="D222" s="6" t="str">
        <f t="shared" si="9"/>
        <v>11/13/2024</v>
      </c>
      <c r="E222" s="6" t="str">
        <f t="shared" si="10"/>
        <v>XBI US Equity</v>
      </c>
      <c r="F222" s="5">
        <f t="shared" si="11"/>
        <v>-4.9746293901104573E-3</v>
      </c>
    </row>
    <row r="223" spans="1:6" x14ac:dyDescent="0.35">
      <c r="A223" s="10">
        <v>45610</v>
      </c>
      <c r="B223" s="9">
        <v>-3.0496950304969576E-2</v>
      </c>
      <c r="D223" s="6" t="str">
        <f t="shared" si="9"/>
        <v>11/14/2024</v>
      </c>
      <c r="E223" s="6" t="str">
        <f t="shared" si="10"/>
        <v>XBI US Equity</v>
      </c>
      <c r="F223" s="5">
        <f t="shared" si="11"/>
        <v>-3.0496950304969576E-2</v>
      </c>
    </row>
    <row r="224" spans="1:6" x14ac:dyDescent="0.35">
      <c r="A224" s="8">
        <v>45611</v>
      </c>
      <c r="B224" s="7">
        <v>-5.2908415841584122E-2</v>
      </c>
      <c r="D224" s="6" t="str">
        <f t="shared" si="9"/>
        <v>11/15/2024</v>
      </c>
      <c r="E224" s="6" t="str">
        <f t="shared" si="10"/>
        <v>XBI US Equity</v>
      </c>
      <c r="F224" s="5">
        <f t="shared" si="11"/>
        <v>-5.2908415841584122E-2</v>
      </c>
    </row>
    <row r="225" spans="1:6" x14ac:dyDescent="0.35">
      <c r="A225" s="10">
        <v>45614</v>
      </c>
      <c r="B225" s="9">
        <v>1.4156593705760953E-3</v>
      </c>
      <c r="D225" s="6" t="str">
        <f t="shared" si="9"/>
        <v>11/18/2024</v>
      </c>
      <c r="E225" s="6" t="str">
        <f t="shared" si="10"/>
        <v>XBI US Equity</v>
      </c>
      <c r="F225" s="5">
        <f t="shared" si="11"/>
        <v>1.4156593705760953E-3</v>
      </c>
    </row>
    <row r="226" spans="1:6" x14ac:dyDescent="0.35">
      <c r="A226" s="8">
        <v>45615</v>
      </c>
      <c r="B226" s="7">
        <v>1.3157894736842118E-2</v>
      </c>
      <c r="D226" s="6" t="str">
        <f t="shared" si="9"/>
        <v>11/19/2024</v>
      </c>
      <c r="E226" s="6" t="str">
        <f t="shared" si="10"/>
        <v>XBI US Equity</v>
      </c>
      <c r="F226" s="5">
        <f t="shared" si="11"/>
        <v>1.3157894736842118E-2</v>
      </c>
    </row>
    <row r="227" spans="1:6" x14ac:dyDescent="0.35">
      <c r="A227" s="10">
        <v>45616</v>
      </c>
      <c r="B227" s="9">
        <v>9.0157776108189536E-3</v>
      </c>
      <c r="D227" s="6" t="str">
        <f t="shared" si="9"/>
        <v>11/20/2024</v>
      </c>
      <c r="E227" s="6" t="str">
        <f t="shared" si="10"/>
        <v>XBI US Equity</v>
      </c>
      <c r="F227" s="5">
        <f t="shared" si="11"/>
        <v>9.0157776108189536E-3</v>
      </c>
    </row>
    <row r="228" spans="1:6" x14ac:dyDescent="0.35">
      <c r="A228" s="8">
        <v>45617</v>
      </c>
      <c r="B228" s="7">
        <v>3.0847782150834058E-3</v>
      </c>
      <c r="D228" s="6" t="str">
        <f t="shared" si="9"/>
        <v>11/21/2024</v>
      </c>
      <c r="E228" s="6" t="str">
        <f t="shared" si="10"/>
        <v>XBI US Equity</v>
      </c>
      <c r="F228" s="5">
        <f t="shared" si="11"/>
        <v>3.0847782150834058E-3</v>
      </c>
    </row>
    <row r="229" spans="1:6" x14ac:dyDescent="0.35">
      <c r="A229" s="10">
        <v>45618</v>
      </c>
      <c r="B229" s="9">
        <v>2.0572640509013734E-2</v>
      </c>
      <c r="D229" s="6" t="str">
        <f t="shared" si="9"/>
        <v>11/22/2024</v>
      </c>
      <c r="E229" s="6" t="str">
        <f t="shared" si="10"/>
        <v>XBI US Equity</v>
      </c>
      <c r="F229" s="5">
        <f t="shared" si="11"/>
        <v>2.0572640509013734E-2</v>
      </c>
    </row>
    <row r="230" spans="1:6" x14ac:dyDescent="0.35">
      <c r="A230" s="8">
        <v>45621</v>
      </c>
      <c r="B230" s="7">
        <v>1.4443059019119003E-2</v>
      </c>
      <c r="D230" s="6" t="str">
        <f t="shared" si="9"/>
        <v>11/25/2024</v>
      </c>
      <c r="E230" s="6" t="str">
        <f t="shared" si="10"/>
        <v>XBI US Equity</v>
      </c>
      <c r="F230" s="5">
        <f t="shared" si="11"/>
        <v>1.4443059019119003E-2</v>
      </c>
    </row>
    <row r="231" spans="1:6" x14ac:dyDescent="0.35">
      <c r="A231" s="10">
        <v>45622</v>
      </c>
      <c r="B231" s="9">
        <v>1.2496158967530384E-2</v>
      </c>
      <c r="D231" s="6" t="str">
        <f t="shared" si="9"/>
        <v>11/26/2024</v>
      </c>
      <c r="E231" s="6" t="str">
        <f t="shared" si="10"/>
        <v>XBI US Equity</v>
      </c>
      <c r="F231" s="5">
        <f t="shared" si="11"/>
        <v>1.2496158967530384E-2</v>
      </c>
    </row>
    <row r="232" spans="1:6" x14ac:dyDescent="0.35">
      <c r="A232" s="8">
        <v>45623</v>
      </c>
      <c r="B232" s="7">
        <v>1.163378856853821E-2</v>
      </c>
      <c r="D232" s="6" t="str">
        <f t="shared" si="9"/>
        <v>11/27/2024</v>
      </c>
      <c r="E232" s="6" t="str">
        <f t="shared" si="10"/>
        <v>XBI US Equity</v>
      </c>
      <c r="F232" s="5">
        <f t="shared" si="11"/>
        <v>1.163378856853821E-2</v>
      </c>
    </row>
    <row r="233" spans="1:6" x14ac:dyDescent="0.35">
      <c r="A233" s="10">
        <v>45625</v>
      </c>
      <c r="B233" s="9">
        <v>-3.7999999999998968E-3</v>
      </c>
      <c r="D233" s="6" t="str">
        <f t="shared" si="9"/>
        <v>11/29/2024</v>
      </c>
      <c r="E233" s="6" t="str">
        <f t="shared" si="10"/>
        <v>XBI US Equity</v>
      </c>
      <c r="F233" s="5">
        <f t="shared" si="11"/>
        <v>-3.7999999999998968E-3</v>
      </c>
    </row>
    <row r="234" spans="1:6" x14ac:dyDescent="0.35">
      <c r="A234" s="8">
        <v>45628</v>
      </c>
      <c r="B234" s="7">
        <v>-3.1118249347520596E-3</v>
      </c>
      <c r="D234" s="6" t="str">
        <f t="shared" si="9"/>
        <v>12/02/2024</v>
      </c>
      <c r="E234" s="6" t="str">
        <f t="shared" si="10"/>
        <v>XBI US Equity</v>
      </c>
      <c r="F234" s="5">
        <f t="shared" si="11"/>
        <v>-3.1118249347520596E-3</v>
      </c>
    </row>
    <row r="235" spans="1:6" x14ac:dyDescent="0.35">
      <c r="A235" s="10">
        <v>45629</v>
      </c>
      <c r="B235" s="9">
        <v>-1.6312556640821714E-2</v>
      </c>
      <c r="D235" s="6" t="str">
        <f t="shared" si="9"/>
        <v>12/03/2024</v>
      </c>
      <c r="E235" s="6" t="str">
        <f t="shared" si="10"/>
        <v>XBI US Equity</v>
      </c>
      <c r="F235" s="5">
        <f t="shared" si="11"/>
        <v>-1.6312556640821714E-2</v>
      </c>
    </row>
    <row r="236" spans="1:6" x14ac:dyDescent="0.35">
      <c r="A236" s="8">
        <v>45630</v>
      </c>
      <c r="B236" s="7">
        <v>1.126010850650023E-2</v>
      </c>
      <c r="D236" s="6" t="str">
        <f t="shared" si="9"/>
        <v>12/04/2024</v>
      </c>
      <c r="E236" s="6" t="str">
        <f t="shared" si="10"/>
        <v>XBI US Equity</v>
      </c>
      <c r="F236" s="5">
        <f t="shared" si="11"/>
        <v>1.126010850650023E-2</v>
      </c>
    </row>
    <row r="237" spans="1:6" x14ac:dyDescent="0.35">
      <c r="A237" s="10">
        <v>45631</v>
      </c>
      <c r="B237" s="9">
        <v>-1.4778823767587979E-2</v>
      </c>
      <c r="D237" s="6" t="str">
        <f t="shared" si="9"/>
        <v>12/05/2024</v>
      </c>
      <c r="E237" s="6" t="str">
        <f t="shared" si="10"/>
        <v>XBI US Equity</v>
      </c>
      <c r="F237" s="5">
        <f t="shared" si="11"/>
        <v>-1.4778823767587979E-2</v>
      </c>
    </row>
    <row r="238" spans="1:6" x14ac:dyDescent="0.35">
      <c r="A238" s="8">
        <v>45632</v>
      </c>
      <c r="B238" s="7">
        <v>1.8596527278331519E-2</v>
      </c>
      <c r="D238" s="6" t="str">
        <f t="shared" si="9"/>
        <v>12/06/2024</v>
      </c>
      <c r="E238" s="6" t="str">
        <f t="shared" si="10"/>
        <v>XBI US Equity</v>
      </c>
      <c r="F238" s="5">
        <f t="shared" si="11"/>
        <v>1.8596527278331519E-2</v>
      </c>
    </row>
    <row r="239" spans="1:6" x14ac:dyDescent="0.35">
      <c r="A239" s="10">
        <v>45635</v>
      </c>
      <c r="B239" s="9">
        <v>-9.0780714141618004E-3</v>
      </c>
      <c r="D239" s="6" t="str">
        <f t="shared" si="9"/>
        <v>12/09/2024</v>
      </c>
      <c r="E239" s="6" t="str">
        <f t="shared" si="10"/>
        <v>XBI US Equity</v>
      </c>
      <c r="F239" s="5">
        <f t="shared" si="11"/>
        <v>-9.0780714141618004E-3</v>
      </c>
    </row>
    <row r="240" spans="1:6" x14ac:dyDescent="0.35">
      <c r="A240" s="8">
        <v>45636</v>
      </c>
      <c r="B240" s="7">
        <v>-8.346905537459209E-3</v>
      </c>
      <c r="D240" s="6" t="str">
        <f t="shared" si="9"/>
        <v>12/10/2024</v>
      </c>
      <c r="E240" s="6" t="str">
        <f t="shared" si="10"/>
        <v>XBI US Equity</v>
      </c>
      <c r="F240" s="5">
        <f t="shared" si="11"/>
        <v>-8.346905537459209E-3</v>
      </c>
    </row>
    <row r="241" spans="1:6" x14ac:dyDescent="0.35">
      <c r="A241" s="10">
        <v>45637</v>
      </c>
      <c r="B241" s="9">
        <v>-4.619174707452346E-3</v>
      </c>
      <c r="D241" s="6" t="str">
        <f t="shared" si="9"/>
        <v>12/11/2024</v>
      </c>
      <c r="E241" s="6" t="str">
        <f t="shared" si="10"/>
        <v>XBI US Equity</v>
      </c>
      <c r="F241" s="5">
        <f t="shared" si="11"/>
        <v>-4.619174707452346E-3</v>
      </c>
    </row>
    <row r="242" spans="1:6" x14ac:dyDescent="0.35">
      <c r="A242" s="8">
        <v>45638</v>
      </c>
      <c r="B242" s="7">
        <v>-2.8565535732700757E-2</v>
      </c>
      <c r="D242" s="6" t="str">
        <f t="shared" si="9"/>
        <v>12/12/2024</v>
      </c>
      <c r="E242" s="6" t="str">
        <f t="shared" si="10"/>
        <v>XBI US Equity</v>
      </c>
      <c r="F242" s="5">
        <f t="shared" si="11"/>
        <v>-2.8565535732700757E-2</v>
      </c>
    </row>
    <row r="243" spans="1:6" x14ac:dyDescent="0.35">
      <c r="A243" s="10">
        <v>45639</v>
      </c>
      <c r="B243" s="9">
        <v>-8.4925690021231178E-3</v>
      </c>
      <c r="D243" s="6" t="str">
        <f t="shared" si="9"/>
        <v>12/13/2024</v>
      </c>
      <c r="E243" s="6" t="str">
        <f t="shared" si="10"/>
        <v>XBI US Equity</v>
      </c>
      <c r="F243" s="5">
        <f t="shared" si="11"/>
        <v>-8.4925690021231178E-3</v>
      </c>
    </row>
    <row r="244" spans="1:6" x14ac:dyDescent="0.35">
      <c r="A244" s="8">
        <v>45642</v>
      </c>
      <c r="B244" s="7">
        <v>1.4561027837259089E-2</v>
      </c>
      <c r="D244" s="6" t="str">
        <f t="shared" si="9"/>
        <v>12/16/2024</v>
      </c>
      <c r="E244" s="6" t="str">
        <f t="shared" si="10"/>
        <v>XBI US Equity</v>
      </c>
      <c r="F244" s="5">
        <f t="shared" si="11"/>
        <v>1.4561027837259089E-2</v>
      </c>
    </row>
    <row r="245" spans="1:6" x14ac:dyDescent="0.35">
      <c r="A245" s="10">
        <v>45643</v>
      </c>
      <c r="B245" s="9">
        <v>-1.7940059096665992E-3</v>
      </c>
      <c r="D245" s="6" t="str">
        <f t="shared" si="9"/>
        <v>12/17/2024</v>
      </c>
      <c r="E245" s="6" t="str">
        <f t="shared" si="10"/>
        <v>XBI US Equity</v>
      </c>
      <c r="F245" s="5">
        <f t="shared" si="11"/>
        <v>-1.7940059096665992E-3</v>
      </c>
    </row>
    <row r="246" spans="1:6" x14ac:dyDescent="0.35">
      <c r="A246" s="8">
        <v>45644</v>
      </c>
      <c r="B246" s="7">
        <v>-4.9265250026429785E-2</v>
      </c>
      <c r="D246" s="6" t="str">
        <f t="shared" si="9"/>
        <v>12/18/2024</v>
      </c>
      <c r="E246" s="6" t="str">
        <f t="shared" si="10"/>
        <v>XBI US Equity</v>
      </c>
      <c r="F246" s="5">
        <f t="shared" si="11"/>
        <v>-4.9265250026429785E-2</v>
      </c>
    </row>
    <row r="247" spans="1:6" x14ac:dyDescent="0.35">
      <c r="A247" s="10">
        <v>45645</v>
      </c>
      <c r="B247" s="9">
        <v>-1.3343711775825446E-3</v>
      </c>
      <c r="D247" s="6" t="str">
        <f t="shared" si="9"/>
        <v>12/19/2024</v>
      </c>
      <c r="E247" s="6" t="str">
        <f t="shared" si="10"/>
        <v>XBI US Equity</v>
      </c>
      <c r="F247" s="5">
        <f t="shared" si="11"/>
        <v>-1.3343711775825446E-3</v>
      </c>
    </row>
    <row r="248" spans="1:6" x14ac:dyDescent="0.35">
      <c r="A248" s="8">
        <v>45646</v>
      </c>
      <c r="B248" s="7">
        <v>1.6367887763055256E-2</v>
      </c>
      <c r="D248" s="6" t="str">
        <f t="shared" si="9"/>
        <v>12/20/2024</v>
      </c>
      <c r="E248" s="6" t="str">
        <f t="shared" si="10"/>
        <v>XBI US Equity</v>
      </c>
      <c r="F248" s="5">
        <f t="shared" si="11"/>
        <v>1.6367887763055256E-2</v>
      </c>
    </row>
    <row r="249" spans="1:6" x14ac:dyDescent="0.35">
      <c r="A249" s="10">
        <v>45649</v>
      </c>
      <c r="B249" s="9">
        <v>6.7121713409291385E-3</v>
      </c>
      <c r="D249" s="6" t="str">
        <f t="shared" si="9"/>
        <v>12/23/2024</v>
      </c>
      <c r="E249" s="6" t="str">
        <f t="shared" si="10"/>
        <v>XBI US Equity</v>
      </c>
      <c r="F249" s="5">
        <f t="shared" si="11"/>
        <v>6.7121713409291385E-3</v>
      </c>
    </row>
    <row r="250" spans="1:6" x14ac:dyDescent="0.35">
      <c r="A250" s="8">
        <v>45650</v>
      </c>
      <c r="B250" s="7">
        <v>9.7943192948083757E-4</v>
      </c>
      <c r="D250" s="6" t="str">
        <f t="shared" si="9"/>
        <v>12/24/2024</v>
      </c>
      <c r="E250" s="6" t="str">
        <f t="shared" si="10"/>
        <v>XBI US Equity</v>
      </c>
      <c r="F250" s="5">
        <f t="shared" si="11"/>
        <v>9.7943192948083757E-4</v>
      </c>
    </row>
    <row r="251" spans="1:6" x14ac:dyDescent="0.35">
      <c r="A251" s="10">
        <v>45652</v>
      </c>
      <c r="B251" s="9">
        <v>7.2841922156991071E-3</v>
      </c>
      <c r="D251" s="6" t="str">
        <f t="shared" si="9"/>
        <v>12/26/2024</v>
      </c>
      <c r="E251" s="6" t="str">
        <f t="shared" si="10"/>
        <v>XBI US Equity</v>
      </c>
      <c r="F251" s="5">
        <f t="shared" si="11"/>
        <v>7.2841922156991071E-3</v>
      </c>
    </row>
    <row r="252" spans="1:6" x14ac:dyDescent="0.35">
      <c r="A252" s="8">
        <v>45653</v>
      </c>
      <c r="B252" s="7">
        <v>-1.4031300593632008E-2</v>
      </c>
      <c r="D252" s="6" t="str">
        <f t="shared" si="9"/>
        <v>12/27/2024</v>
      </c>
      <c r="E252" s="6" t="str">
        <f t="shared" si="10"/>
        <v>XBI US Equity</v>
      </c>
      <c r="F252" s="5">
        <f t="shared" si="11"/>
        <v>-1.4031300593632008E-2</v>
      </c>
    </row>
    <row r="253" spans="1:6" x14ac:dyDescent="0.35">
      <c r="A253" s="10">
        <v>45656</v>
      </c>
      <c r="B253" s="9">
        <v>-1.5982484948002189E-2</v>
      </c>
      <c r="D253" s="6" t="str">
        <f t="shared" si="9"/>
        <v>12/30/2024</v>
      </c>
      <c r="E253" s="6" t="str">
        <f t="shared" si="10"/>
        <v>XBI US Equity</v>
      </c>
      <c r="F253" s="5">
        <f t="shared" si="11"/>
        <v>-1.5982484948002189E-2</v>
      </c>
    </row>
    <row r="254" spans="1:6" x14ac:dyDescent="0.35">
      <c r="A254" s="8">
        <v>45657</v>
      </c>
      <c r="B254" s="7">
        <v>1.8912003559907959E-3</v>
      </c>
      <c r="D254" s="6" t="str">
        <f t="shared" si="9"/>
        <v>12/31/2024</v>
      </c>
      <c r="E254" s="6" t="str">
        <f t="shared" si="10"/>
        <v>XBI US Equity</v>
      </c>
      <c r="F254" s="5">
        <f t="shared" si="11"/>
        <v>1.8912003559907959E-3</v>
      </c>
    </row>
    <row r="255" spans="1:6" x14ac:dyDescent="0.35">
      <c r="A255" s="10">
        <v>45659</v>
      </c>
      <c r="B255" s="9">
        <v>1.6322451698867306E-2</v>
      </c>
      <c r="D255" s="6" t="str">
        <f t="shared" si="9"/>
        <v>01/02/2025</v>
      </c>
      <c r="E255" s="6" t="str">
        <f t="shared" si="10"/>
        <v>XBI US Equity</v>
      </c>
      <c r="F255" s="5">
        <f t="shared" si="11"/>
        <v>1.6322451698867306E-2</v>
      </c>
    </row>
    <row r="256" spans="1:6" x14ac:dyDescent="0.35">
      <c r="A256" s="8">
        <v>45660</v>
      </c>
      <c r="B256" s="7">
        <v>9.6143340981099581E-3</v>
      </c>
      <c r="D256" s="6" t="str">
        <f t="shared" si="9"/>
        <v>01/03/2025</v>
      </c>
      <c r="E256" s="6" t="str">
        <f t="shared" si="10"/>
        <v>XBI US Equity</v>
      </c>
      <c r="F256" s="5">
        <f t="shared" si="11"/>
        <v>9.6143340981099581E-3</v>
      </c>
    </row>
    <row r="257" spans="1:6" x14ac:dyDescent="0.35">
      <c r="A257" s="10">
        <v>45663</v>
      </c>
      <c r="B257" s="9">
        <v>-2.1642679363706382E-3</v>
      </c>
      <c r="D257" s="6" t="str">
        <f t="shared" si="9"/>
        <v>01/06/2025</v>
      </c>
      <c r="E257" s="6" t="str">
        <f t="shared" si="10"/>
        <v>XBI US Equity</v>
      </c>
      <c r="F257" s="5">
        <f t="shared" si="11"/>
        <v>-2.1642679363706382E-3</v>
      </c>
    </row>
    <row r="258" spans="1:6" x14ac:dyDescent="0.35">
      <c r="A258" s="8">
        <v>45664</v>
      </c>
      <c r="B258" s="7">
        <v>7.1575751003146518E-3</v>
      </c>
      <c r="D258" s="6" t="str">
        <f t="shared" si="9"/>
        <v>01/07/2025</v>
      </c>
      <c r="E258" s="6" t="str">
        <f t="shared" si="10"/>
        <v>XBI US Equity</v>
      </c>
      <c r="F258" s="5">
        <f t="shared" si="11"/>
        <v>7.1575751003146518E-3</v>
      </c>
    </row>
    <row r="259" spans="1:6" x14ac:dyDescent="0.35">
      <c r="A259" s="10">
        <v>45665</v>
      </c>
      <c r="B259" s="9">
        <v>-6.0299343167869229E-3</v>
      </c>
      <c r="D259" s="6" t="str">
        <f t="shared" ref="D259:D280" si="12">IF(A259 =  "", "",  TEXT(A259, "mm/dd/yyyy"))</f>
        <v>01/08/2025</v>
      </c>
      <c r="E259" s="6" t="str">
        <f t="shared" ref="E259:E280" si="13">IF(A259="", "", EntityLocal)</f>
        <v>XBI US Equity</v>
      </c>
      <c r="F259" s="5">
        <f t="shared" ref="F259:F280" si="14">IF(B259="","", B259)</f>
        <v>-6.0299343167869229E-3</v>
      </c>
    </row>
    <row r="260" spans="1:6" x14ac:dyDescent="0.35">
      <c r="A260" s="8">
        <v>45667</v>
      </c>
      <c r="B260" s="7">
        <v>-3.109088939443189E-2</v>
      </c>
      <c r="D260" s="6" t="str">
        <f t="shared" si="12"/>
        <v>01/10/2025</v>
      </c>
      <c r="E260" s="6" t="str">
        <f t="shared" si="13"/>
        <v>XBI US Equity</v>
      </c>
      <c r="F260" s="5">
        <f t="shared" si="14"/>
        <v>-3.109088939443189E-2</v>
      </c>
    </row>
    <row r="261" spans="1:6" x14ac:dyDescent="0.35">
      <c r="A261" s="10">
        <v>45670</v>
      </c>
      <c r="B261" s="9">
        <v>-3.4660107334525811E-3</v>
      </c>
      <c r="D261" s="6" t="str">
        <f t="shared" si="12"/>
        <v>01/13/2025</v>
      </c>
      <c r="E261" s="6" t="str">
        <f t="shared" si="13"/>
        <v>XBI US Equity</v>
      </c>
      <c r="F261" s="5">
        <f t="shared" si="14"/>
        <v>-3.4660107334525811E-3</v>
      </c>
    </row>
    <row r="262" spans="1:6" x14ac:dyDescent="0.35">
      <c r="A262" s="8">
        <v>45671</v>
      </c>
      <c r="B262" s="7">
        <v>-2.7712330304050271E-2</v>
      </c>
      <c r="D262" s="6" t="str">
        <f t="shared" si="12"/>
        <v>01/14/2025</v>
      </c>
      <c r="E262" s="6" t="str">
        <f t="shared" si="13"/>
        <v>XBI US Equity</v>
      </c>
      <c r="F262" s="5">
        <f t="shared" si="14"/>
        <v>-2.7712330304050271E-2</v>
      </c>
    </row>
    <row r="263" spans="1:6" x14ac:dyDescent="0.35">
      <c r="A263" s="10">
        <v>45672</v>
      </c>
      <c r="B263" s="9">
        <v>2.1809369951534797E-2</v>
      </c>
      <c r="D263" s="6" t="str">
        <f t="shared" si="12"/>
        <v>01/15/2025</v>
      </c>
      <c r="E263" s="6" t="str">
        <f t="shared" si="13"/>
        <v>XBI US Equity</v>
      </c>
      <c r="F263" s="5">
        <f t="shared" si="14"/>
        <v>2.1809369951534797E-2</v>
      </c>
    </row>
    <row r="264" spans="1:6" x14ac:dyDescent="0.35">
      <c r="A264" s="8">
        <v>45673</v>
      </c>
      <c r="B264" s="7">
        <v>-7.4534161490683202E-3</v>
      </c>
      <c r="D264" s="6" t="str">
        <f t="shared" si="12"/>
        <v>01/16/2025</v>
      </c>
      <c r="E264" s="6" t="str">
        <f t="shared" si="13"/>
        <v>XBI US Equity</v>
      </c>
      <c r="F264" s="5">
        <f t="shared" si="14"/>
        <v>-7.4534161490683202E-3</v>
      </c>
    </row>
    <row r="265" spans="1:6" x14ac:dyDescent="0.35">
      <c r="A265" s="10">
        <v>45674</v>
      </c>
      <c r="B265" s="9">
        <v>9.1022869495949578E-4</v>
      </c>
      <c r="D265" s="6" t="str">
        <f t="shared" si="12"/>
        <v>01/17/2025</v>
      </c>
      <c r="E265" s="6" t="str">
        <f t="shared" si="13"/>
        <v>XBI US Equity</v>
      </c>
      <c r="F265" s="5">
        <f t="shared" si="14"/>
        <v>9.1022869495949578E-4</v>
      </c>
    </row>
    <row r="266" spans="1:6" x14ac:dyDescent="0.35">
      <c r="A266" s="8">
        <v>45678</v>
      </c>
      <c r="B266" s="7">
        <v>2.8873479595316762E-2</v>
      </c>
      <c r="D266" s="6" t="str">
        <f t="shared" si="12"/>
        <v>01/21/2025</v>
      </c>
      <c r="E266" s="6" t="str">
        <f t="shared" si="13"/>
        <v>XBI US Equity</v>
      </c>
      <c r="F266" s="5">
        <f t="shared" si="14"/>
        <v>2.8873479595316762E-2</v>
      </c>
    </row>
    <row r="267" spans="1:6" x14ac:dyDescent="0.35">
      <c r="A267" s="10">
        <v>45679</v>
      </c>
      <c r="B267" s="9">
        <v>7.7339520494971569E-3</v>
      </c>
      <c r="D267" s="6" t="str">
        <f t="shared" si="12"/>
        <v>01/22/2025</v>
      </c>
      <c r="E267" s="6" t="str">
        <f t="shared" si="13"/>
        <v>XBI US Equity</v>
      </c>
      <c r="F267" s="5">
        <f t="shared" si="14"/>
        <v>7.7339520494971569E-3</v>
      </c>
    </row>
    <row r="268" spans="1:6" x14ac:dyDescent="0.35">
      <c r="A268" s="8">
        <v>45680</v>
      </c>
      <c r="B268" s="7">
        <v>1.9405766911523004E-2</v>
      </c>
      <c r="D268" s="6" t="str">
        <f t="shared" si="12"/>
        <v>01/23/2025</v>
      </c>
      <c r="E268" s="6" t="str">
        <f t="shared" si="13"/>
        <v>XBI US Equity</v>
      </c>
      <c r="F268" s="5">
        <f t="shared" si="14"/>
        <v>1.9405766911523004E-2</v>
      </c>
    </row>
    <row r="269" spans="1:6" x14ac:dyDescent="0.35">
      <c r="A269" s="10">
        <v>45681</v>
      </c>
      <c r="B269" s="9">
        <v>-5.5926005592602029E-3</v>
      </c>
      <c r="D269" s="6" t="str">
        <f t="shared" si="12"/>
        <v>01/24/2025</v>
      </c>
      <c r="E269" s="6" t="str">
        <f t="shared" si="13"/>
        <v>XBI US Equity</v>
      </c>
      <c r="F269" s="5">
        <f t="shared" si="14"/>
        <v>-5.5926005592602029E-3</v>
      </c>
    </row>
    <row r="270" spans="1:6" x14ac:dyDescent="0.35">
      <c r="A270" s="8">
        <v>45684</v>
      </c>
      <c r="B270" s="7">
        <v>1.6223231667748701E-3</v>
      </c>
      <c r="D270" s="6" t="str">
        <f t="shared" si="12"/>
        <v>01/27/2025</v>
      </c>
      <c r="E270" s="6" t="str">
        <f t="shared" si="13"/>
        <v>XBI US Equity</v>
      </c>
      <c r="F270" s="5">
        <f t="shared" si="14"/>
        <v>1.6223231667748701E-3</v>
      </c>
    </row>
    <row r="271" spans="1:6" x14ac:dyDescent="0.35">
      <c r="A271" s="10">
        <v>45685</v>
      </c>
      <c r="B271" s="9">
        <v>6.1548428895368277E-3</v>
      </c>
      <c r="D271" s="6" t="str">
        <f t="shared" si="12"/>
        <v>01/28/2025</v>
      </c>
      <c r="E271" s="6" t="str">
        <f t="shared" si="13"/>
        <v>XBI US Equity</v>
      </c>
      <c r="F271" s="5">
        <f t="shared" si="14"/>
        <v>6.1548428895368277E-3</v>
      </c>
    </row>
    <row r="272" spans="1:6" x14ac:dyDescent="0.35">
      <c r="A272" s="8">
        <v>45686</v>
      </c>
      <c r="B272" s="7">
        <v>-6.4391500321957897E-3</v>
      </c>
      <c r="D272" s="6" t="str">
        <f t="shared" si="12"/>
        <v>01/29/2025</v>
      </c>
      <c r="E272" s="6" t="str">
        <f t="shared" si="13"/>
        <v>XBI US Equity</v>
      </c>
      <c r="F272" s="5">
        <f t="shared" si="14"/>
        <v>-6.4391500321957897E-3</v>
      </c>
    </row>
    <row r="273" spans="1:6" x14ac:dyDescent="0.35">
      <c r="A273" s="10">
        <v>45687</v>
      </c>
      <c r="B273" s="9">
        <v>1.0369410239792706E-2</v>
      </c>
      <c r="D273" s="6" t="str">
        <f t="shared" si="12"/>
        <v>01/30/2025</v>
      </c>
      <c r="E273" s="6" t="str">
        <f t="shared" si="13"/>
        <v>XBI US Equity</v>
      </c>
      <c r="F273" s="5">
        <f t="shared" si="14"/>
        <v>1.0369410239792706E-2</v>
      </c>
    </row>
    <row r="274" spans="1:6" x14ac:dyDescent="0.35">
      <c r="A274" s="8">
        <v>45688</v>
      </c>
      <c r="B274" s="7">
        <v>-9.3008338678641708E-3</v>
      </c>
      <c r="D274" s="6" t="str">
        <f t="shared" si="12"/>
        <v>01/31/2025</v>
      </c>
      <c r="E274" s="6" t="str">
        <f t="shared" si="13"/>
        <v>XBI US Equity</v>
      </c>
      <c r="F274" s="5">
        <f t="shared" si="14"/>
        <v>-9.3008338678641708E-3</v>
      </c>
    </row>
    <row r="275" spans="1:6" x14ac:dyDescent="0.35">
      <c r="A275" s="10">
        <v>45691</v>
      </c>
      <c r="B275" s="9">
        <v>-1.3488723427214844E-2</v>
      </c>
      <c r="D275" s="6" t="str">
        <f t="shared" si="12"/>
        <v>02/03/2025</v>
      </c>
      <c r="E275" s="6" t="str">
        <f t="shared" si="13"/>
        <v>XBI US Equity</v>
      </c>
      <c r="F275" s="5">
        <f t="shared" si="14"/>
        <v>-1.3488723427214844E-2</v>
      </c>
    </row>
    <row r="276" spans="1:6" x14ac:dyDescent="0.35">
      <c r="A276" s="8">
        <v>45692</v>
      </c>
      <c r="B276" s="7">
        <v>1.2579304309779054E-2</v>
      </c>
      <c r="D276" s="6" t="str">
        <f t="shared" si="12"/>
        <v>02/04/2025</v>
      </c>
      <c r="E276" s="6" t="str">
        <f t="shared" si="13"/>
        <v>XBI US Equity</v>
      </c>
      <c r="F276" s="5">
        <f t="shared" si="14"/>
        <v>1.2579304309779054E-2</v>
      </c>
    </row>
    <row r="277" spans="1:6" x14ac:dyDescent="0.35">
      <c r="A277" s="10">
        <v>45693</v>
      </c>
      <c r="B277" s="9">
        <v>2.3009614345900441E-2</v>
      </c>
      <c r="D277" s="6" t="str">
        <f t="shared" si="12"/>
        <v>02/05/2025</v>
      </c>
      <c r="E277" s="6" t="str">
        <f t="shared" si="13"/>
        <v>XBI US Equity</v>
      </c>
      <c r="F277" s="5">
        <f t="shared" si="14"/>
        <v>2.3009614345900441E-2</v>
      </c>
    </row>
    <row r="278" spans="1:6" x14ac:dyDescent="0.35">
      <c r="A278" s="8">
        <v>45694</v>
      </c>
      <c r="B278" s="7">
        <v>-1.4044350580781453E-2</v>
      </c>
      <c r="D278" s="6" t="str">
        <f t="shared" si="12"/>
        <v>02/06/2025</v>
      </c>
      <c r="E278" s="6" t="str">
        <f t="shared" si="13"/>
        <v>XBI US Equity</v>
      </c>
      <c r="F278" s="5">
        <f t="shared" si="14"/>
        <v>-1.4044350580781453E-2</v>
      </c>
    </row>
    <row r="279" spans="1:6" x14ac:dyDescent="0.35">
      <c r="A279" s="10">
        <v>45695</v>
      </c>
      <c r="B279" s="9">
        <v>-2.3776357225244613E-2</v>
      </c>
      <c r="D279" s="6" t="str">
        <f t="shared" si="12"/>
        <v>02/07/2025</v>
      </c>
      <c r="E279" s="6" t="str">
        <f t="shared" si="13"/>
        <v>XBI US Equity</v>
      </c>
      <c r="F279" s="5">
        <f t="shared" si="14"/>
        <v>-2.3776357225244613E-2</v>
      </c>
    </row>
    <row r="280" spans="1:6" x14ac:dyDescent="0.35">
      <c r="A280" s="8"/>
      <c r="B280" s="7"/>
      <c r="D280" s="6" t="str">
        <f t="shared" si="12"/>
        <v/>
      </c>
      <c r="E280" s="6" t="str">
        <f t="shared" si="13"/>
        <v/>
      </c>
      <c r="F280" s="5" t="str">
        <f t="shared" si="14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FF4C9-6D8E-47AB-AD5F-287ADECE99EE}">
  <sheetPr codeName="Sheet10"/>
  <dimension ref="A1:F280"/>
  <sheetViews>
    <sheetView showGridLines="0" zoomScale="91" zoomScaleNormal="91" workbookViewId="0">
      <pane xSplit="2" ySplit="2" topLeftCell="C232" activePane="bottomRight" state="frozen"/>
      <selection pane="topRight" activeCell="C1" sqref="C1"/>
      <selection pane="bottomLeft" activeCell="A3" sqref="A3"/>
      <selection pane="bottomRight" activeCell="A279" sqref="A279"/>
    </sheetView>
  </sheetViews>
  <sheetFormatPr defaultRowHeight="14.5" x14ac:dyDescent="0.35"/>
  <cols>
    <col min="1" max="1" width="17.81640625" style="4" customWidth="1"/>
    <col min="2" max="2" width="18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_xll.BQL("MSA1BIO Index", "dropna(day_to_day_tot_return_gross_dvds(dates=range(2024-01-01, 2025-12-31)))","cols=2;rows=279")</f>
        <v/>
      </c>
      <c r="B1" s="18" t="s">
        <v>7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8.7853323147439773E-3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MSA1BIO Index</v>
      </c>
      <c r="F3" s="5">
        <f t="shared" ref="F3:F66" si="2">IF(B3="","", B3)</f>
        <v>8.7853323147439773E-3</v>
      </c>
    </row>
    <row r="4" spans="1:6" x14ac:dyDescent="0.35">
      <c r="A4" s="8">
        <v>45294</v>
      </c>
      <c r="B4" s="7">
        <v>-2.40439227565316E-2</v>
      </c>
      <c r="D4" s="6" t="str">
        <f t="shared" si="0"/>
        <v>01/03/2024</v>
      </c>
      <c r="E4" s="6" t="str">
        <f t="shared" si="1"/>
        <v>MSA1BIO Index</v>
      </c>
      <c r="F4" s="5">
        <f t="shared" si="2"/>
        <v>-2.40439227565316E-2</v>
      </c>
    </row>
    <row r="5" spans="1:6" x14ac:dyDescent="0.35">
      <c r="A5" s="10">
        <v>45295</v>
      </c>
      <c r="B5" s="9">
        <v>7.0805043646945025E-3</v>
      </c>
      <c r="D5" s="6" t="str">
        <f t="shared" si="0"/>
        <v>01/04/2024</v>
      </c>
      <c r="E5" s="6" t="str">
        <f t="shared" si="1"/>
        <v>MSA1BIO Index</v>
      </c>
      <c r="F5" s="5">
        <f t="shared" si="2"/>
        <v>7.0805043646945025E-3</v>
      </c>
    </row>
    <row r="6" spans="1:6" x14ac:dyDescent="0.35">
      <c r="A6" s="8">
        <v>45296</v>
      </c>
      <c r="B6" s="7">
        <v>-1.107579697582574E-2</v>
      </c>
      <c r="D6" s="6" t="str">
        <f t="shared" si="0"/>
        <v>01/05/2024</v>
      </c>
      <c r="E6" s="6" t="str">
        <f t="shared" si="1"/>
        <v>MSA1BIO Index</v>
      </c>
      <c r="F6" s="5">
        <f t="shared" si="2"/>
        <v>-1.107579697582574E-2</v>
      </c>
    </row>
    <row r="7" spans="1:6" x14ac:dyDescent="0.35">
      <c r="A7" s="10">
        <v>45299</v>
      </c>
      <c r="B7" s="9">
        <v>4.4604596805609562E-2</v>
      </c>
      <c r="D7" s="6" t="str">
        <f t="shared" si="0"/>
        <v>01/08/2024</v>
      </c>
      <c r="E7" s="6" t="str">
        <f t="shared" si="1"/>
        <v>MSA1BIO Index</v>
      </c>
      <c r="F7" s="5">
        <f t="shared" si="2"/>
        <v>4.4604596805609562E-2</v>
      </c>
    </row>
    <row r="8" spans="1:6" x14ac:dyDescent="0.35">
      <c r="A8" s="8">
        <v>45300</v>
      </c>
      <c r="B8" s="7">
        <v>4.568338616445948E-3</v>
      </c>
      <c r="D8" s="6" t="str">
        <f t="shared" si="0"/>
        <v>01/09/2024</v>
      </c>
      <c r="E8" s="6" t="str">
        <f t="shared" si="1"/>
        <v>MSA1BIO Index</v>
      </c>
      <c r="F8" s="5">
        <f t="shared" si="2"/>
        <v>4.568338616445948E-3</v>
      </c>
    </row>
    <row r="9" spans="1:6" x14ac:dyDescent="0.35">
      <c r="A9" s="10">
        <v>45301</v>
      </c>
      <c r="B9" s="9">
        <v>-7.6102088167051734E-3</v>
      </c>
      <c r="D9" s="6" t="str">
        <f t="shared" si="0"/>
        <v>01/10/2024</v>
      </c>
      <c r="E9" s="6" t="str">
        <f t="shared" si="1"/>
        <v>MSA1BIO Index</v>
      </c>
      <c r="F9" s="5">
        <f t="shared" si="2"/>
        <v>-7.6102088167051734E-3</v>
      </c>
    </row>
    <row r="10" spans="1:6" x14ac:dyDescent="0.35">
      <c r="A10" s="8">
        <v>45302</v>
      </c>
      <c r="B10" s="7">
        <v>-1.5524174693725051E-2</v>
      </c>
      <c r="D10" s="6" t="str">
        <f t="shared" si="0"/>
        <v>01/11/2024</v>
      </c>
      <c r="E10" s="6" t="str">
        <f t="shared" si="1"/>
        <v>MSA1BIO Index</v>
      </c>
      <c r="F10" s="5">
        <f t="shared" si="2"/>
        <v>-1.5524174693725051E-2</v>
      </c>
    </row>
    <row r="11" spans="1:6" x14ac:dyDescent="0.35">
      <c r="A11" s="10">
        <v>45303</v>
      </c>
      <c r="B11" s="9">
        <v>4.8990545917188067E-3</v>
      </c>
      <c r="D11" s="6" t="str">
        <f t="shared" si="0"/>
        <v>01/12/2024</v>
      </c>
      <c r="E11" s="6" t="str">
        <f t="shared" si="1"/>
        <v>MSA1BIO Index</v>
      </c>
      <c r="F11" s="5">
        <f t="shared" si="2"/>
        <v>4.8990545917188067E-3</v>
      </c>
    </row>
    <row r="12" spans="1:6" x14ac:dyDescent="0.35">
      <c r="A12" s="8">
        <v>45307</v>
      </c>
      <c r="B12" s="7">
        <v>-1.6638305917942874E-2</v>
      </c>
      <c r="D12" s="6" t="str">
        <f t="shared" si="0"/>
        <v>01/16/2024</v>
      </c>
      <c r="E12" s="6" t="str">
        <f t="shared" si="1"/>
        <v>MSA1BIO Index</v>
      </c>
      <c r="F12" s="5">
        <f t="shared" si="2"/>
        <v>-1.6638305917942874E-2</v>
      </c>
    </row>
    <row r="13" spans="1:6" x14ac:dyDescent="0.35">
      <c r="A13" s="10">
        <v>45308</v>
      </c>
      <c r="B13" s="9">
        <v>-7.883099403960793E-3</v>
      </c>
      <c r="D13" s="6" t="str">
        <f t="shared" si="0"/>
        <v>01/17/2024</v>
      </c>
      <c r="E13" s="6" t="str">
        <f t="shared" si="1"/>
        <v>MSA1BIO Index</v>
      </c>
      <c r="F13" s="5">
        <f t="shared" si="2"/>
        <v>-7.883099403960793E-3</v>
      </c>
    </row>
    <row r="14" spans="1:6" x14ac:dyDescent="0.35">
      <c r="A14" s="8">
        <v>45309</v>
      </c>
      <c r="B14" s="7">
        <v>-1.4922480620155101E-2</v>
      </c>
      <c r="D14" s="6" t="str">
        <f t="shared" si="0"/>
        <v>01/18/2024</v>
      </c>
      <c r="E14" s="6" t="str">
        <f t="shared" si="1"/>
        <v>MSA1BIO Index</v>
      </c>
      <c r="F14" s="5">
        <f t="shared" si="2"/>
        <v>-1.4922480620155101E-2</v>
      </c>
    </row>
    <row r="15" spans="1:6" x14ac:dyDescent="0.35">
      <c r="A15" s="10">
        <v>45310</v>
      </c>
      <c r="B15" s="9">
        <v>1.6722408026757182E-3</v>
      </c>
      <c r="D15" s="6" t="str">
        <f t="shared" si="0"/>
        <v>01/19/2024</v>
      </c>
      <c r="E15" s="6" t="str">
        <f t="shared" si="1"/>
        <v>MSA1BIO Index</v>
      </c>
      <c r="F15" s="5">
        <f t="shared" si="2"/>
        <v>1.6722408026757182E-3</v>
      </c>
    </row>
    <row r="16" spans="1:6" x14ac:dyDescent="0.35">
      <c r="A16" s="8">
        <v>45313</v>
      </c>
      <c r="B16" s="7">
        <v>2.6318373760188508E-2</v>
      </c>
      <c r="D16" s="6" t="str">
        <f t="shared" si="0"/>
        <v>01/22/2024</v>
      </c>
      <c r="E16" s="6" t="str">
        <f t="shared" si="1"/>
        <v>MSA1BIO Index</v>
      </c>
      <c r="F16" s="5">
        <f t="shared" si="2"/>
        <v>2.6318373760188508E-2</v>
      </c>
    </row>
    <row r="17" spans="1:6" x14ac:dyDescent="0.35">
      <c r="A17" s="10">
        <v>45314</v>
      </c>
      <c r="B17" s="9">
        <v>3.5403310687971822E-3</v>
      </c>
      <c r="D17" s="6" t="str">
        <f t="shared" si="0"/>
        <v>01/23/2024</v>
      </c>
      <c r="E17" s="6" t="str">
        <f t="shared" si="1"/>
        <v>MSA1BIO Index</v>
      </c>
      <c r="F17" s="5">
        <f t="shared" si="2"/>
        <v>3.5403310687971822E-3</v>
      </c>
    </row>
    <row r="18" spans="1:6" x14ac:dyDescent="0.35">
      <c r="A18" s="8">
        <v>45315</v>
      </c>
      <c r="B18" s="7">
        <v>-7.8184591914567843E-3</v>
      </c>
      <c r="D18" s="6" t="str">
        <f t="shared" si="0"/>
        <v>01/24/2024</v>
      </c>
      <c r="E18" s="6" t="str">
        <f t="shared" si="1"/>
        <v>MSA1BIO Index</v>
      </c>
      <c r="F18" s="5">
        <f t="shared" si="2"/>
        <v>-7.8184591914567843E-3</v>
      </c>
    </row>
    <row r="19" spans="1:6" x14ac:dyDescent="0.35">
      <c r="A19" s="10">
        <v>45316</v>
      </c>
      <c r="B19" s="9">
        <v>1.1051316548145186E-2</v>
      </c>
      <c r="D19" s="6" t="str">
        <f t="shared" si="0"/>
        <v>01/25/2024</v>
      </c>
      <c r="E19" s="6" t="str">
        <f t="shared" si="1"/>
        <v>MSA1BIO Index</v>
      </c>
      <c r="F19" s="5">
        <f t="shared" si="2"/>
        <v>1.1051316548145186E-2</v>
      </c>
    </row>
    <row r="20" spans="1:6" x14ac:dyDescent="0.35">
      <c r="A20" s="8">
        <v>45317</v>
      </c>
      <c r="B20" s="7">
        <v>1.2356239901150665E-3</v>
      </c>
      <c r="D20" s="6" t="str">
        <f t="shared" si="0"/>
        <v>01/26/2024</v>
      </c>
      <c r="E20" s="6" t="str">
        <f t="shared" si="1"/>
        <v>MSA1BIO Index</v>
      </c>
      <c r="F20" s="5">
        <f t="shared" si="2"/>
        <v>1.2356239901150665E-3</v>
      </c>
    </row>
    <row r="21" spans="1:6" x14ac:dyDescent="0.35">
      <c r="A21" s="10">
        <v>45320</v>
      </c>
      <c r="B21" s="9">
        <v>3.5124359217771087E-2</v>
      </c>
      <c r="D21" s="6" t="str">
        <f t="shared" si="0"/>
        <v>01/29/2024</v>
      </c>
      <c r="E21" s="6" t="str">
        <f t="shared" si="1"/>
        <v>MSA1BIO Index</v>
      </c>
      <c r="F21" s="5">
        <f t="shared" si="2"/>
        <v>3.5124359217771087E-2</v>
      </c>
    </row>
    <row r="22" spans="1:6" x14ac:dyDescent="0.35">
      <c r="A22" s="8">
        <v>45321</v>
      </c>
      <c r="B22" s="7">
        <v>-2.2377109317681661E-2</v>
      </c>
      <c r="D22" s="6" t="str">
        <f t="shared" si="0"/>
        <v>01/30/2024</v>
      </c>
      <c r="E22" s="6" t="str">
        <f t="shared" si="1"/>
        <v>MSA1BIO Index</v>
      </c>
      <c r="F22" s="5">
        <f t="shared" si="2"/>
        <v>-2.2377109317681661E-2</v>
      </c>
    </row>
    <row r="23" spans="1:6" x14ac:dyDescent="0.35">
      <c r="A23" s="10">
        <v>45322</v>
      </c>
      <c r="B23" s="9">
        <v>-9.849906191369653E-3</v>
      </c>
      <c r="D23" s="6" t="str">
        <f t="shared" si="0"/>
        <v>01/31/2024</v>
      </c>
      <c r="E23" s="6" t="str">
        <f t="shared" si="1"/>
        <v>MSA1BIO Index</v>
      </c>
      <c r="F23" s="5">
        <f t="shared" si="2"/>
        <v>-9.849906191369653E-3</v>
      </c>
    </row>
    <row r="24" spans="1:6" x14ac:dyDescent="0.35">
      <c r="A24" s="8">
        <v>45323</v>
      </c>
      <c r="B24" s="7">
        <v>2.4538133585978318E-2</v>
      </c>
      <c r="D24" s="6" t="str">
        <f t="shared" si="0"/>
        <v>02/01/2024</v>
      </c>
      <c r="E24" s="6" t="str">
        <f t="shared" si="1"/>
        <v>MSA1BIO Index</v>
      </c>
      <c r="F24" s="5">
        <f t="shared" si="2"/>
        <v>2.4538133585978318E-2</v>
      </c>
    </row>
    <row r="25" spans="1:6" x14ac:dyDescent="0.35">
      <c r="A25" s="10">
        <v>45324</v>
      </c>
      <c r="B25" s="9">
        <v>-1.0819308304050293E-2</v>
      </c>
      <c r="D25" s="6" t="str">
        <f t="shared" si="0"/>
        <v>02/02/2024</v>
      </c>
      <c r="E25" s="6" t="str">
        <f t="shared" si="1"/>
        <v>MSA1BIO Index</v>
      </c>
      <c r="F25" s="5">
        <f t="shared" si="2"/>
        <v>-1.0819308304050293E-2</v>
      </c>
    </row>
    <row r="26" spans="1:6" x14ac:dyDescent="0.35">
      <c r="A26" s="8">
        <v>45327</v>
      </c>
      <c r="B26" s="7">
        <v>1.0844161914555353E-2</v>
      </c>
      <c r="D26" s="6" t="str">
        <f t="shared" si="0"/>
        <v>02/05/2024</v>
      </c>
      <c r="E26" s="6" t="str">
        <f t="shared" si="1"/>
        <v>MSA1BIO Index</v>
      </c>
      <c r="F26" s="5">
        <f t="shared" si="2"/>
        <v>1.0844161914555353E-2</v>
      </c>
    </row>
    <row r="27" spans="1:6" x14ac:dyDescent="0.35">
      <c r="A27" s="10">
        <v>45328</v>
      </c>
      <c r="B27" s="9">
        <v>2.5987237584389186E-2</v>
      </c>
      <c r="D27" s="6" t="str">
        <f t="shared" si="0"/>
        <v>02/06/2024</v>
      </c>
      <c r="E27" s="6" t="str">
        <f t="shared" si="1"/>
        <v>MSA1BIO Index</v>
      </c>
      <c r="F27" s="5">
        <f t="shared" si="2"/>
        <v>2.5987237584389186E-2</v>
      </c>
    </row>
    <row r="28" spans="1:6" x14ac:dyDescent="0.35">
      <c r="A28" s="8">
        <v>45329</v>
      </c>
      <c r="B28" s="7">
        <v>-1.4872904272579661E-2</v>
      </c>
      <c r="D28" s="6" t="str">
        <f t="shared" si="0"/>
        <v>02/07/2024</v>
      </c>
      <c r="E28" s="6" t="str">
        <f t="shared" si="1"/>
        <v>MSA1BIO Index</v>
      </c>
      <c r="F28" s="5">
        <f t="shared" si="2"/>
        <v>-1.4872904272579661E-2</v>
      </c>
    </row>
    <row r="29" spans="1:6" x14ac:dyDescent="0.35">
      <c r="A29" s="10">
        <v>45330</v>
      </c>
      <c r="B29" s="9">
        <v>7.5944734193430317E-3</v>
      </c>
      <c r="D29" s="6" t="str">
        <f t="shared" si="0"/>
        <v>02/08/2024</v>
      </c>
      <c r="E29" s="6" t="str">
        <f t="shared" si="1"/>
        <v>MSA1BIO Index</v>
      </c>
      <c r="F29" s="5">
        <f t="shared" si="2"/>
        <v>7.5944734193430317E-3</v>
      </c>
    </row>
    <row r="30" spans="1:6" x14ac:dyDescent="0.35">
      <c r="A30" s="8">
        <v>45331</v>
      </c>
      <c r="B30" s="7">
        <v>2.0886305848165546E-2</v>
      </c>
      <c r="D30" s="6" t="str">
        <f t="shared" si="0"/>
        <v>02/09/2024</v>
      </c>
      <c r="E30" s="6" t="str">
        <f t="shared" si="1"/>
        <v>MSA1BIO Index</v>
      </c>
      <c r="F30" s="5">
        <f t="shared" si="2"/>
        <v>2.0886305848165546E-2</v>
      </c>
    </row>
    <row r="31" spans="1:6" x14ac:dyDescent="0.35">
      <c r="A31" s="10">
        <v>45334</v>
      </c>
      <c r="B31" s="9">
        <v>1.956947162426621E-2</v>
      </c>
      <c r="D31" s="6" t="str">
        <f t="shared" si="0"/>
        <v>02/12/2024</v>
      </c>
      <c r="E31" s="6" t="str">
        <f t="shared" si="1"/>
        <v>MSA1BIO Index</v>
      </c>
      <c r="F31" s="5">
        <f t="shared" si="2"/>
        <v>1.956947162426621E-2</v>
      </c>
    </row>
    <row r="32" spans="1:6" x14ac:dyDescent="0.35">
      <c r="A32" s="8">
        <v>45335</v>
      </c>
      <c r="B32" s="7">
        <v>-4.6588727970685702E-2</v>
      </c>
      <c r="D32" s="6" t="str">
        <f t="shared" si="0"/>
        <v>02/13/2024</v>
      </c>
      <c r="E32" s="6" t="str">
        <f t="shared" si="1"/>
        <v>MSA1BIO Index</v>
      </c>
      <c r="F32" s="5">
        <f t="shared" si="2"/>
        <v>-4.6588727970685702E-2</v>
      </c>
    </row>
    <row r="33" spans="1:6" x14ac:dyDescent="0.35">
      <c r="A33" s="10">
        <v>45336</v>
      </c>
      <c r="B33" s="9">
        <v>2.9940655895530424E-2</v>
      </c>
      <c r="D33" s="6" t="str">
        <f t="shared" si="0"/>
        <v>02/14/2024</v>
      </c>
      <c r="E33" s="6" t="str">
        <f t="shared" si="1"/>
        <v>MSA1BIO Index</v>
      </c>
      <c r="F33" s="5">
        <f t="shared" si="2"/>
        <v>2.9940655895530424E-2</v>
      </c>
    </row>
    <row r="34" spans="1:6" x14ac:dyDescent="0.35">
      <c r="A34" s="8">
        <v>45337</v>
      </c>
      <c r="B34" s="7">
        <v>2.0701910262105744E-2</v>
      </c>
      <c r="D34" s="6" t="str">
        <f t="shared" si="0"/>
        <v>02/15/2024</v>
      </c>
      <c r="E34" s="6" t="str">
        <f t="shared" si="1"/>
        <v>MSA1BIO Index</v>
      </c>
      <c r="F34" s="5">
        <f t="shared" si="2"/>
        <v>2.0701910262105744E-2</v>
      </c>
    </row>
    <row r="35" spans="1:6" x14ac:dyDescent="0.35">
      <c r="A35" s="10">
        <v>45338</v>
      </c>
      <c r="B35" s="9">
        <v>5.2228412256270459E-4</v>
      </c>
      <c r="D35" s="6" t="str">
        <f t="shared" si="0"/>
        <v>02/16/2024</v>
      </c>
      <c r="E35" s="6" t="str">
        <f t="shared" si="1"/>
        <v>MSA1BIO Index</v>
      </c>
      <c r="F35" s="5">
        <f t="shared" si="2"/>
        <v>5.2228412256270459E-4</v>
      </c>
    </row>
    <row r="36" spans="1:6" x14ac:dyDescent="0.35">
      <c r="A36" s="8">
        <v>45342</v>
      </c>
      <c r="B36" s="7">
        <v>-1.5225334957369153E-2</v>
      </c>
      <c r="D36" s="6" t="str">
        <f t="shared" si="0"/>
        <v>02/20/2024</v>
      </c>
      <c r="E36" s="6" t="str">
        <f t="shared" si="1"/>
        <v>MSA1BIO Index</v>
      </c>
      <c r="F36" s="5">
        <f t="shared" si="2"/>
        <v>-1.5225334957369153E-2</v>
      </c>
    </row>
    <row r="37" spans="1:6" x14ac:dyDescent="0.35">
      <c r="A37" s="10">
        <v>45343</v>
      </c>
      <c r="B37" s="9">
        <v>-7.8628854139057187E-3</v>
      </c>
      <c r="D37" s="6" t="str">
        <f t="shared" si="0"/>
        <v>02/21/2024</v>
      </c>
      <c r="E37" s="6" t="str">
        <f t="shared" si="1"/>
        <v>MSA1BIO Index</v>
      </c>
      <c r="F37" s="5">
        <f t="shared" si="2"/>
        <v>-7.8628854139057187E-3</v>
      </c>
    </row>
    <row r="38" spans="1:6" x14ac:dyDescent="0.35">
      <c r="A38" s="8">
        <v>45344</v>
      </c>
      <c r="B38" s="7">
        <v>1.2733748886910113E-2</v>
      </c>
      <c r="D38" s="6" t="str">
        <f t="shared" si="0"/>
        <v>02/22/2024</v>
      </c>
      <c r="E38" s="6" t="str">
        <f t="shared" si="1"/>
        <v>MSA1BIO Index</v>
      </c>
      <c r="F38" s="5">
        <f t="shared" si="2"/>
        <v>1.2733748886910113E-2</v>
      </c>
    </row>
    <row r="39" spans="1:6" x14ac:dyDescent="0.35">
      <c r="A39" s="10">
        <v>45345</v>
      </c>
      <c r="B39" s="9">
        <v>1.1694363844192384E-2</v>
      </c>
      <c r="D39" s="6" t="str">
        <f t="shared" si="0"/>
        <v>02/23/2024</v>
      </c>
      <c r="E39" s="6" t="str">
        <f t="shared" si="1"/>
        <v>MSA1BIO Index</v>
      </c>
      <c r="F39" s="5">
        <f t="shared" si="2"/>
        <v>1.1694363844192384E-2</v>
      </c>
    </row>
    <row r="40" spans="1:6" x14ac:dyDescent="0.35">
      <c r="A40" s="8">
        <v>45348</v>
      </c>
      <c r="B40" s="7">
        <v>2.7463931861637286E-2</v>
      </c>
      <c r="D40" s="6" t="str">
        <f t="shared" si="0"/>
        <v>02/26/2024</v>
      </c>
      <c r="E40" s="6" t="str">
        <f t="shared" si="1"/>
        <v>MSA1BIO Index</v>
      </c>
      <c r="F40" s="5">
        <f t="shared" si="2"/>
        <v>2.7463931861637286E-2</v>
      </c>
    </row>
    <row r="41" spans="1:6" x14ac:dyDescent="0.35">
      <c r="A41" s="10">
        <v>45349</v>
      </c>
      <c r="B41" s="9">
        <v>4.2547792251734093E-2</v>
      </c>
      <c r="D41" s="6" t="str">
        <f t="shared" si="0"/>
        <v>02/27/2024</v>
      </c>
      <c r="E41" s="6" t="str">
        <f t="shared" si="1"/>
        <v>MSA1BIO Index</v>
      </c>
      <c r="F41" s="5">
        <f t="shared" si="2"/>
        <v>4.2547792251734093E-2</v>
      </c>
    </row>
    <row r="42" spans="1:6" x14ac:dyDescent="0.35">
      <c r="A42" s="8">
        <v>45350</v>
      </c>
      <c r="B42" s="7">
        <v>-1.8661257606490813E-2</v>
      </c>
      <c r="D42" s="6" t="str">
        <f t="shared" si="0"/>
        <v>02/28/2024</v>
      </c>
      <c r="E42" s="6" t="str">
        <f t="shared" si="1"/>
        <v>MSA1BIO Index</v>
      </c>
      <c r="F42" s="5">
        <f t="shared" si="2"/>
        <v>-1.8661257606490813E-2</v>
      </c>
    </row>
    <row r="43" spans="1:6" x14ac:dyDescent="0.35">
      <c r="A43" s="10">
        <v>45351</v>
      </c>
      <c r="B43" s="9">
        <v>-8.1817851671836129E-3</v>
      </c>
      <c r="D43" s="6" t="str">
        <f t="shared" si="0"/>
        <v>02/29/2024</v>
      </c>
      <c r="E43" s="6" t="str">
        <f t="shared" si="1"/>
        <v>MSA1BIO Index</v>
      </c>
      <c r="F43" s="5">
        <f t="shared" si="2"/>
        <v>-8.1817851671836129E-3</v>
      </c>
    </row>
    <row r="44" spans="1:6" x14ac:dyDescent="0.35">
      <c r="A44" s="8">
        <v>45352</v>
      </c>
      <c r="B44" s="7">
        <v>3.6012004001333892E-2</v>
      </c>
      <c r="D44" s="6" t="str">
        <f t="shared" si="0"/>
        <v>03/01/2024</v>
      </c>
      <c r="E44" s="6" t="str">
        <f t="shared" si="1"/>
        <v>MSA1BIO Index</v>
      </c>
      <c r="F44" s="5">
        <f t="shared" si="2"/>
        <v>3.6012004001333892E-2</v>
      </c>
    </row>
    <row r="45" spans="1:6" x14ac:dyDescent="0.35">
      <c r="A45" s="10">
        <v>45355</v>
      </c>
      <c r="B45" s="9">
        <v>-1.7299645960733859E-2</v>
      </c>
      <c r="D45" s="6" t="str">
        <f t="shared" si="0"/>
        <v>03/04/2024</v>
      </c>
      <c r="E45" s="6" t="str">
        <f t="shared" si="1"/>
        <v>MSA1BIO Index</v>
      </c>
      <c r="F45" s="5">
        <f t="shared" si="2"/>
        <v>-1.7299645960733859E-2</v>
      </c>
    </row>
    <row r="46" spans="1:6" x14ac:dyDescent="0.35">
      <c r="A46" s="8">
        <v>45356</v>
      </c>
      <c r="B46" s="7">
        <v>-9.045094071737262E-3</v>
      </c>
      <c r="D46" s="6" t="str">
        <f t="shared" si="0"/>
        <v>03/05/2024</v>
      </c>
      <c r="E46" s="6" t="str">
        <f t="shared" si="1"/>
        <v>MSA1BIO Index</v>
      </c>
      <c r="F46" s="5">
        <f t="shared" si="2"/>
        <v>-9.045094071737262E-3</v>
      </c>
    </row>
    <row r="47" spans="1:6" x14ac:dyDescent="0.35">
      <c r="A47" s="10">
        <v>45357</v>
      </c>
      <c r="B47" s="9">
        <v>1.1072549991736938E-2</v>
      </c>
      <c r="D47" s="6" t="str">
        <f t="shared" si="0"/>
        <v>03/06/2024</v>
      </c>
      <c r="E47" s="6" t="str">
        <f t="shared" si="1"/>
        <v>MSA1BIO Index</v>
      </c>
      <c r="F47" s="5">
        <f t="shared" si="2"/>
        <v>1.1072549991736938E-2</v>
      </c>
    </row>
    <row r="48" spans="1:6" x14ac:dyDescent="0.35">
      <c r="A48" s="8">
        <v>45358</v>
      </c>
      <c r="B48" s="7">
        <v>-7.8457012095455806E-3</v>
      </c>
      <c r="D48" s="6" t="str">
        <f t="shared" si="0"/>
        <v>03/07/2024</v>
      </c>
      <c r="E48" s="6" t="str">
        <f t="shared" si="1"/>
        <v>MSA1BIO Index</v>
      </c>
      <c r="F48" s="5">
        <f t="shared" si="2"/>
        <v>-7.8457012095455806E-3</v>
      </c>
    </row>
    <row r="49" spans="1:6" x14ac:dyDescent="0.35">
      <c r="A49" s="10">
        <v>45359</v>
      </c>
      <c r="B49" s="9">
        <v>-3.7067545304777746E-3</v>
      </c>
      <c r="D49" s="6" t="str">
        <f t="shared" si="0"/>
        <v>03/08/2024</v>
      </c>
      <c r="E49" s="6" t="str">
        <f t="shared" si="1"/>
        <v>MSA1BIO Index</v>
      </c>
      <c r="F49" s="5">
        <f t="shared" si="2"/>
        <v>-3.7067545304777746E-3</v>
      </c>
    </row>
    <row r="50" spans="1:6" x14ac:dyDescent="0.35">
      <c r="A50" s="8">
        <v>45362</v>
      </c>
      <c r="B50" s="7">
        <v>-2.3232740801984383E-2</v>
      </c>
      <c r="D50" s="6" t="str">
        <f t="shared" si="0"/>
        <v>03/11/2024</v>
      </c>
      <c r="E50" s="6" t="str">
        <f t="shared" si="1"/>
        <v>MSA1BIO Index</v>
      </c>
      <c r="F50" s="5">
        <f t="shared" si="2"/>
        <v>-2.3232740801984383E-2</v>
      </c>
    </row>
    <row r="51" spans="1:6" x14ac:dyDescent="0.35">
      <c r="A51" s="10">
        <v>45363</v>
      </c>
      <c r="B51" s="9">
        <v>-3.3011681056373289E-3</v>
      </c>
      <c r="D51" s="6" t="str">
        <f t="shared" si="0"/>
        <v>03/12/2024</v>
      </c>
      <c r="E51" s="6" t="str">
        <f t="shared" si="1"/>
        <v>MSA1BIO Index</v>
      </c>
      <c r="F51" s="5">
        <f t="shared" si="2"/>
        <v>-3.3011681056373289E-3</v>
      </c>
    </row>
    <row r="52" spans="1:6" x14ac:dyDescent="0.35">
      <c r="A52" s="8">
        <v>45364</v>
      </c>
      <c r="B52" s="7">
        <v>1.4267515923566928E-2</v>
      </c>
      <c r="D52" s="6" t="str">
        <f t="shared" si="0"/>
        <v>03/13/2024</v>
      </c>
      <c r="E52" s="6" t="str">
        <f t="shared" si="1"/>
        <v>MSA1BIO Index</v>
      </c>
      <c r="F52" s="5">
        <f t="shared" si="2"/>
        <v>1.4267515923566928E-2</v>
      </c>
    </row>
    <row r="53" spans="1:6" x14ac:dyDescent="0.35">
      <c r="A53" s="10">
        <v>45365</v>
      </c>
      <c r="B53" s="9">
        <v>-3.2735570520888359E-2</v>
      </c>
      <c r="D53" s="6" t="str">
        <f t="shared" si="0"/>
        <v>03/14/2024</v>
      </c>
      <c r="E53" s="6" t="str">
        <f t="shared" si="1"/>
        <v>MSA1BIO Index</v>
      </c>
      <c r="F53" s="5">
        <f t="shared" si="2"/>
        <v>-3.2735570520888359E-2</v>
      </c>
    </row>
    <row r="54" spans="1:6" x14ac:dyDescent="0.35">
      <c r="A54" s="8">
        <v>45366</v>
      </c>
      <c r="B54" s="7">
        <v>1.4371050125530246E-2</v>
      </c>
      <c r="D54" s="6" t="str">
        <f t="shared" si="0"/>
        <v>03/15/2024</v>
      </c>
      <c r="E54" s="6" t="str">
        <f t="shared" si="1"/>
        <v>MSA1BIO Index</v>
      </c>
      <c r="F54" s="5">
        <f t="shared" si="2"/>
        <v>1.4371050125530246E-2</v>
      </c>
    </row>
    <row r="55" spans="1:6" x14ac:dyDescent="0.35">
      <c r="A55" s="10">
        <v>45369</v>
      </c>
      <c r="B55" s="9">
        <v>-1.6301100964410689E-2</v>
      </c>
      <c r="D55" s="6" t="str">
        <f t="shared" si="0"/>
        <v>03/18/2024</v>
      </c>
      <c r="E55" s="6" t="str">
        <f t="shared" si="1"/>
        <v>MSA1BIO Index</v>
      </c>
      <c r="F55" s="5">
        <f t="shared" si="2"/>
        <v>-1.6301100964410689E-2</v>
      </c>
    </row>
    <row r="56" spans="1:6" x14ac:dyDescent="0.35">
      <c r="A56" s="8">
        <v>45370</v>
      </c>
      <c r="B56" s="7">
        <v>6.5070275897970223E-3</v>
      </c>
      <c r="D56" s="6" t="str">
        <f t="shared" si="0"/>
        <v>03/19/2024</v>
      </c>
      <c r="E56" s="6" t="str">
        <f t="shared" si="1"/>
        <v>MSA1BIO Index</v>
      </c>
      <c r="F56" s="5">
        <f t="shared" si="2"/>
        <v>6.5070275897970223E-3</v>
      </c>
    </row>
    <row r="57" spans="1:6" x14ac:dyDescent="0.35">
      <c r="A57" s="10">
        <v>45371</v>
      </c>
      <c r="B57" s="9">
        <v>1.6033100594776337E-2</v>
      </c>
      <c r="D57" s="6" t="str">
        <f t="shared" si="0"/>
        <v>03/20/2024</v>
      </c>
      <c r="E57" s="6" t="str">
        <f t="shared" si="1"/>
        <v>MSA1BIO Index</v>
      </c>
      <c r="F57" s="5">
        <f t="shared" si="2"/>
        <v>1.6033100594776337E-2</v>
      </c>
    </row>
    <row r="58" spans="1:6" x14ac:dyDescent="0.35">
      <c r="A58" s="8">
        <v>45372</v>
      </c>
      <c r="B58" s="7">
        <v>4.1571222533298745E-3</v>
      </c>
      <c r="D58" s="6" t="str">
        <f t="shared" si="0"/>
        <v>03/21/2024</v>
      </c>
      <c r="E58" s="6" t="str">
        <f t="shared" si="1"/>
        <v>MSA1BIO Index</v>
      </c>
      <c r="F58" s="5">
        <f t="shared" si="2"/>
        <v>4.1571222533298745E-3</v>
      </c>
    </row>
    <row r="59" spans="1:6" x14ac:dyDescent="0.35">
      <c r="A59" s="10">
        <v>45373</v>
      </c>
      <c r="B59" s="9">
        <v>-8.4668393718540479E-3</v>
      </c>
      <c r="D59" s="6" t="str">
        <f t="shared" si="0"/>
        <v>03/22/2024</v>
      </c>
      <c r="E59" s="6" t="str">
        <f t="shared" si="1"/>
        <v>MSA1BIO Index</v>
      </c>
      <c r="F59" s="5">
        <f t="shared" si="2"/>
        <v>-8.4668393718540479E-3</v>
      </c>
    </row>
    <row r="60" spans="1:6" x14ac:dyDescent="0.35">
      <c r="A60" s="8">
        <v>45376</v>
      </c>
      <c r="B60" s="7">
        <v>-8.442776735459739E-3</v>
      </c>
      <c r="D60" s="6" t="str">
        <f t="shared" si="0"/>
        <v>03/25/2024</v>
      </c>
      <c r="E60" s="6" t="str">
        <f t="shared" si="1"/>
        <v>MSA1BIO Index</v>
      </c>
      <c r="F60" s="5">
        <f t="shared" si="2"/>
        <v>-8.442776735459739E-3</v>
      </c>
    </row>
    <row r="61" spans="1:6" x14ac:dyDescent="0.35">
      <c r="A61" s="10">
        <v>45377</v>
      </c>
      <c r="B61" s="9">
        <v>8.600670852330863E-5</v>
      </c>
      <c r="D61" s="6" t="str">
        <f t="shared" si="0"/>
        <v>03/26/2024</v>
      </c>
      <c r="E61" s="6" t="str">
        <f t="shared" si="1"/>
        <v>MSA1BIO Index</v>
      </c>
      <c r="F61" s="5">
        <f t="shared" si="2"/>
        <v>8.600670852330863E-5</v>
      </c>
    </row>
    <row r="62" spans="1:6" x14ac:dyDescent="0.35">
      <c r="A62" s="8">
        <v>45378</v>
      </c>
      <c r="B62" s="7">
        <v>3.0185758513931932E-2</v>
      </c>
      <c r="D62" s="6" t="str">
        <f t="shared" si="0"/>
        <v>03/27/2024</v>
      </c>
      <c r="E62" s="6" t="str">
        <f t="shared" si="1"/>
        <v>MSA1BIO Index</v>
      </c>
      <c r="F62" s="5">
        <f t="shared" si="2"/>
        <v>3.0185758513931932E-2</v>
      </c>
    </row>
    <row r="63" spans="1:6" x14ac:dyDescent="0.35">
      <c r="A63" s="10">
        <v>45379</v>
      </c>
      <c r="B63" s="9">
        <v>1.00175306786869E-3</v>
      </c>
      <c r="D63" s="6" t="str">
        <f t="shared" si="0"/>
        <v>03/28/2024</v>
      </c>
      <c r="E63" s="6" t="str">
        <f t="shared" si="1"/>
        <v>MSA1BIO Index</v>
      </c>
      <c r="F63" s="5">
        <f t="shared" si="2"/>
        <v>1.00175306786869E-3</v>
      </c>
    </row>
    <row r="64" spans="1:6" x14ac:dyDescent="0.35">
      <c r="A64" s="8">
        <v>45383</v>
      </c>
      <c r="B64" s="7">
        <v>-1.0924860311900611E-2</v>
      </c>
      <c r="D64" s="6" t="str">
        <f t="shared" si="0"/>
        <v>04/01/2024</v>
      </c>
      <c r="E64" s="6" t="str">
        <f t="shared" si="1"/>
        <v>MSA1BIO Index</v>
      </c>
      <c r="F64" s="5">
        <f t="shared" si="2"/>
        <v>-1.0924860311900611E-2</v>
      </c>
    </row>
    <row r="65" spans="1:6" x14ac:dyDescent="0.35">
      <c r="A65" s="10">
        <v>45384</v>
      </c>
      <c r="B65" s="9">
        <v>-2.8583473861720072E-2</v>
      </c>
      <c r="D65" s="6" t="str">
        <f t="shared" si="0"/>
        <v>04/02/2024</v>
      </c>
      <c r="E65" s="6" t="str">
        <f t="shared" si="1"/>
        <v>MSA1BIO Index</v>
      </c>
      <c r="F65" s="5">
        <f t="shared" si="2"/>
        <v>-2.8583473861720072E-2</v>
      </c>
    </row>
    <row r="66" spans="1:6" x14ac:dyDescent="0.35">
      <c r="A66" s="8">
        <v>45385</v>
      </c>
      <c r="B66" s="7">
        <v>4.8606891762868008E-3</v>
      </c>
      <c r="D66" s="6" t="str">
        <f t="shared" si="0"/>
        <v>04/03/2024</v>
      </c>
      <c r="E66" s="6" t="str">
        <f t="shared" si="1"/>
        <v>MSA1BIO Index</v>
      </c>
      <c r="F66" s="5">
        <f t="shared" si="2"/>
        <v>4.8606891762868008E-3</v>
      </c>
    </row>
    <row r="67" spans="1:6" x14ac:dyDescent="0.35">
      <c r="A67" s="10">
        <v>45386</v>
      </c>
      <c r="B67" s="9">
        <v>-1.3215859030837017E-2</v>
      </c>
      <c r="D67" s="6" t="str">
        <f t="shared" ref="D67:D130" si="3">IF(A67 =  "", "",  TEXT(A67, "mm/dd/yyyy"))</f>
        <v>04/04/2024</v>
      </c>
      <c r="E67" s="6" t="str">
        <f t="shared" ref="E67:E130" si="4">IF(A67="", "", EntityLocal)</f>
        <v>MSA1BIO Index</v>
      </c>
      <c r="F67" s="5">
        <f t="shared" ref="F67:F130" si="5">IF(B67="","", B67)</f>
        <v>-1.3215859030837017E-2</v>
      </c>
    </row>
    <row r="68" spans="1:6" x14ac:dyDescent="0.35">
      <c r="A68" s="8">
        <v>45387</v>
      </c>
      <c r="B68" s="7">
        <v>8.0532212885154209E-3</v>
      </c>
      <c r="D68" s="6" t="str">
        <f t="shared" si="3"/>
        <v>04/05/2024</v>
      </c>
      <c r="E68" s="6" t="str">
        <f t="shared" si="4"/>
        <v>MSA1BIO Index</v>
      </c>
      <c r="F68" s="5">
        <f t="shared" si="5"/>
        <v>8.0532212885154209E-3</v>
      </c>
    </row>
    <row r="69" spans="1:6" x14ac:dyDescent="0.35">
      <c r="A69" s="10">
        <v>45390</v>
      </c>
      <c r="B69" s="9">
        <v>-2.9524140326502553E-3</v>
      </c>
      <c r="D69" s="6" t="str">
        <f t="shared" si="3"/>
        <v>04/08/2024</v>
      </c>
      <c r="E69" s="6" t="str">
        <f t="shared" si="4"/>
        <v>MSA1BIO Index</v>
      </c>
      <c r="F69" s="5">
        <f t="shared" si="5"/>
        <v>-2.9524140326502553E-3</v>
      </c>
    </row>
    <row r="70" spans="1:6" x14ac:dyDescent="0.35">
      <c r="A70" s="8">
        <v>45391</v>
      </c>
      <c r="B70" s="7">
        <v>8.5350984149103297E-3</v>
      </c>
      <c r="D70" s="6" t="str">
        <f t="shared" si="3"/>
        <v>04/09/2024</v>
      </c>
      <c r="E70" s="6" t="str">
        <f t="shared" si="4"/>
        <v>MSA1BIO Index</v>
      </c>
      <c r="F70" s="5">
        <f t="shared" si="5"/>
        <v>8.5350984149103297E-3</v>
      </c>
    </row>
    <row r="71" spans="1:6" x14ac:dyDescent="0.35">
      <c r="A71" s="10">
        <v>45392</v>
      </c>
      <c r="B71" s="9">
        <v>-1.8134715025906686E-2</v>
      </c>
      <c r="D71" s="6" t="str">
        <f t="shared" si="3"/>
        <v>04/10/2024</v>
      </c>
      <c r="E71" s="6" t="str">
        <f t="shared" si="4"/>
        <v>MSA1BIO Index</v>
      </c>
      <c r="F71" s="5">
        <f t="shared" si="5"/>
        <v>-1.8134715025906686E-2</v>
      </c>
    </row>
    <row r="72" spans="1:6" x14ac:dyDescent="0.35">
      <c r="A72" s="8">
        <v>45393</v>
      </c>
      <c r="B72" s="7">
        <v>1.7678100263852161E-2</v>
      </c>
      <c r="D72" s="6" t="str">
        <f t="shared" si="3"/>
        <v>04/11/2024</v>
      </c>
      <c r="E72" s="6" t="str">
        <f t="shared" si="4"/>
        <v>MSA1BIO Index</v>
      </c>
      <c r="F72" s="5">
        <f t="shared" si="5"/>
        <v>1.7678100263852161E-2</v>
      </c>
    </row>
    <row r="73" spans="1:6" x14ac:dyDescent="0.35">
      <c r="A73" s="10">
        <v>45394</v>
      </c>
      <c r="B73" s="9">
        <v>-3.0189830305437815E-2</v>
      </c>
      <c r="D73" s="6" t="str">
        <f t="shared" si="3"/>
        <v>04/12/2024</v>
      </c>
      <c r="E73" s="6" t="str">
        <f t="shared" si="4"/>
        <v>MSA1BIO Index</v>
      </c>
      <c r="F73" s="5">
        <f t="shared" si="5"/>
        <v>-3.0189830305437815E-2</v>
      </c>
    </row>
    <row r="74" spans="1:6" x14ac:dyDescent="0.35">
      <c r="A74" s="8">
        <v>45397</v>
      </c>
      <c r="B74" s="7">
        <v>-2.7805008466268537E-2</v>
      </c>
      <c r="D74" s="6" t="str">
        <f t="shared" si="3"/>
        <v>04/15/2024</v>
      </c>
      <c r="E74" s="6" t="str">
        <f t="shared" si="4"/>
        <v>MSA1BIO Index</v>
      </c>
      <c r="F74" s="5">
        <f t="shared" si="5"/>
        <v>-2.7805008466268537E-2</v>
      </c>
    </row>
    <row r="75" spans="1:6" x14ac:dyDescent="0.35">
      <c r="A75" s="10">
        <v>45398</v>
      </c>
      <c r="B75" s="9">
        <v>-9.5334127784399269E-3</v>
      </c>
      <c r="D75" s="6" t="str">
        <f t="shared" si="3"/>
        <v>04/16/2024</v>
      </c>
      <c r="E75" s="6" t="str">
        <f t="shared" si="4"/>
        <v>MSA1BIO Index</v>
      </c>
      <c r="F75" s="5">
        <f t="shared" si="5"/>
        <v>-9.5334127784399269E-3</v>
      </c>
    </row>
    <row r="76" spans="1:6" x14ac:dyDescent="0.35">
      <c r="A76" s="8">
        <v>45399</v>
      </c>
      <c r="B76" s="7">
        <v>-1.119851920407206E-2</v>
      </c>
      <c r="D76" s="6" t="str">
        <f t="shared" si="3"/>
        <v>04/17/2024</v>
      </c>
      <c r="E76" s="6" t="str">
        <f t="shared" si="4"/>
        <v>MSA1BIO Index</v>
      </c>
      <c r="F76" s="5">
        <f t="shared" si="5"/>
        <v>-1.119851920407206E-2</v>
      </c>
    </row>
    <row r="77" spans="1:6" x14ac:dyDescent="0.35">
      <c r="A77" s="10">
        <v>45400</v>
      </c>
      <c r="B77" s="9">
        <v>-1.9749157618869355E-2</v>
      </c>
      <c r="D77" s="6" t="str">
        <f t="shared" si="3"/>
        <v>04/18/2024</v>
      </c>
      <c r="E77" s="6" t="str">
        <f t="shared" si="4"/>
        <v>MSA1BIO Index</v>
      </c>
      <c r="F77" s="5">
        <f t="shared" si="5"/>
        <v>-1.9749157618869355E-2</v>
      </c>
    </row>
    <row r="78" spans="1:6" x14ac:dyDescent="0.35">
      <c r="A78" s="8">
        <v>45401</v>
      </c>
      <c r="B78" s="7">
        <v>-1.1171584073331379E-2</v>
      </c>
      <c r="D78" s="6" t="str">
        <f t="shared" si="3"/>
        <v>04/19/2024</v>
      </c>
      <c r="E78" s="6" t="str">
        <f t="shared" si="4"/>
        <v>MSA1BIO Index</v>
      </c>
      <c r="F78" s="5">
        <f t="shared" si="5"/>
        <v>-1.1171584073331379E-2</v>
      </c>
    </row>
    <row r="79" spans="1:6" x14ac:dyDescent="0.35">
      <c r="A79" s="10">
        <v>45404</v>
      </c>
      <c r="B79" s="9">
        <v>7.8215527230590439E-3</v>
      </c>
      <c r="D79" s="6" t="str">
        <f t="shared" si="3"/>
        <v>04/22/2024</v>
      </c>
      <c r="E79" s="6" t="str">
        <f t="shared" si="4"/>
        <v>MSA1BIO Index</v>
      </c>
      <c r="F79" s="5">
        <f t="shared" si="5"/>
        <v>7.8215527230590439E-3</v>
      </c>
    </row>
    <row r="80" spans="1:6" x14ac:dyDescent="0.35">
      <c r="A80" s="8">
        <v>45405</v>
      </c>
      <c r="B80" s="7">
        <v>1.6288205423014131E-2</v>
      </c>
      <c r="D80" s="6" t="str">
        <f t="shared" si="3"/>
        <v>04/23/2024</v>
      </c>
      <c r="E80" s="6" t="str">
        <f t="shared" si="4"/>
        <v>MSA1BIO Index</v>
      </c>
      <c r="F80" s="5">
        <f t="shared" si="5"/>
        <v>1.6288205423014131E-2</v>
      </c>
    </row>
    <row r="81" spans="1:6" x14ac:dyDescent="0.35">
      <c r="A81" s="10">
        <v>45406</v>
      </c>
      <c r="B81" s="9">
        <v>-8.2021306684263284E-3</v>
      </c>
      <c r="D81" s="6" t="str">
        <f t="shared" si="3"/>
        <v>04/24/2024</v>
      </c>
      <c r="E81" s="6" t="str">
        <f t="shared" si="4"/>
        <v>MSA1BIO Index</v>
      </c>
      <c r="F81" s="5">
        <f t="shared" si="5"/>
        <v>-8.2021306684263284E-3</v>
      </c>
    </row>
    <row r="82" spans="1:6" x14ac:dyDescent="0.35">
      <c r="A82" s="8">
        <v>45407</v>
      </c>
      <c r="B82" s="7">
        <v>-1.8916349809886084E-2</v>
      </c>
      <c r="D82" s="6" t="str">
        <f t="shared" si="3"/>
        <v>04/25/2024</v>
      </c>
      <c r="E82" s="6" t="str">
        <f t="shared" si="4"/>
        <v>MSA1BIO Index</v>
      </c>
      <c r="F82" s="5">
        <f t="shared" si="5"/>
        <v>-1.8916349809886084E-2</v>
      </c>
    </row>
    <row r="83" spans="1:6" x14ac:dyDescent="0.35">
      <c r="A83" s="10">
        <v>45408</v>
      </c>
      <c r="B83" s="9">
        <v>1.6374382327294018E-2</v>
      </c>
      <c r="D83" s="6" t="str">
        <f t="shared" si="3"/>
        <v>04/26/2024</v>
      </c>
      <c r="E83" s="6" t="str">
        <f t="shared" si="4"/>
        <v>MSA1BIO Index</v>
      </c>
      <c r="F83" s="5">
        <f t="shared" si="5"/>
        <v>1.6374382327294018E-2</v>
      </c>
    </row>
    <row r="84" spans="1:6" x14ac:dyDescent="0.35">
      <c r="A84" s="8">
        <v>45411</v>
      </c>
      <c r="B84" s="7">
        <v>2.6215443279313574E-2</v>
      </c>
      <c r="D84" s="6" t="str">
        <f t="shared" si="3"/>
        <v>04/29/2024</v>
      </c>
      <c r="E84" s="6" t="str">
        <f t="shared" si="4"/>
        <v>MSA1BIO Index</v>
      </c>
      <c r="F84" s="5">
        <f t="shared" si="5"/>
        <v>2.6215443279313574E-2</v>
      </c>
    </row>
    <row r="85" spans="1:6" x14ac:dyDescent="0.35">
      <c r="A85" s="10">
        <v>45412</v>
      </c>
      <c r="B85" s="9">
        <v>-8.6391082210869399E-3</v>
      </c>
      <c r="D85" s="6" t="str">
        <f t="shared" si="3"/>
        <v>04/30/2024</v>
      </c>
      <c r="E85" s="6" t="str">
        <f t="shared" si="4"/>
        <v>MSA1BIO Index</v>
      </c>
      <c r="F85" s="5">
        <f t="shared" si="5"/>
        <v>-8.6391082210869399E-3</v>
      </c>
    </row>
    <row r="86" spans="1:6" x14ac:dyDescent="0.35">
      <c r="A86" s="8">
        <v>45413</v>
      </c>
      <c r="B86" s="7">
        <v>3.4201649175412394E-2</v>
      </c>
      <c r="D86" s="6" t="str">
        <f t="shared" si="3"/>
        <v>05/01/2024</v>
      </c>
      <c r="E86" s="6" t="str">
        <f t="shared" si="4"/>
        <v>MSA1BIO Index</v>
      </c>
      <c r="F86" s="5">
        <f t="shared" si="5"/>
        <v>3.4201649175412394E-2</v>
      </c>
    </row>
    <row r="87" spans="1:6" x14ac:dyDescent="0.35">
      <c r="A87" s="10">
        <v>45414</v>
      </c>
      <c r="B87" s="9">
        <v>8.0637854489444983E-3</v>
      </c>
      <c r="D87" s="6" t="str">
        <f t="shared" si="3"/>
        <v>05/02/2024</v>
      </c>
      <c r="E87" s="6" t="str">
        <f t="shared" si="4"/>
        <v>MSA1BIO Index</v>
      </c>
      <c r="F87" s="5">
        <f t="shared" si="5"/>
        <v>8.0637854489444983E-3</v>
      </c>
    </row>
    <row r="88" spans="1:6" x14ac:dyDescent="0.35">
      <c r="A88" s="8">
        <v>45415</v>
      </c>
      <c r="B88" s="7">
        <v>1.5189645874528142E-2</v>
      </c>
      <c r="D88" s="6" t="str">
        <f t="shared" si="3"/>
        <v>05/03/2024</v>
      </c>
      <c r="E88" s="6" t="str">
        <f t="shared" si="4"/>
        <v>MSA1BIO Index</v>
      </c>
      <c r="F88" s="5">
        <f t="shared" si="5"/>
        <v>1.5189645874528142E-2</v>
      </c>
    </row>
    <row r="89" spans="1:6" x14ac:dyDescent="0.35">
      <c r="A89" s="10">
        <v>45418</v>
      </c>
      <c r="B89" s="9">
        <v>4.6038069942451673E-3</v>
      </c>
      <c r="D89" s="6" t="str">
        <f t="shared" si="3"/>
        <v>05/06/2024</v>
      </c>
      <c r="E89" s="6" t="str">
        <f t="shared" si="4"/>
        <v>MSA1BIO Index</v>
      </c>
      <c r="F89" s="5">
        <f t="shared" si="5"/>
        <v>4.6038069942451673E-3</v>
      </c>
    </row>
    <row r="90" spans="1:6" x14ac:dyDescent="0.35">
      <c r="A90" s="8">
        <v>45419</v>
      </c>
      <c r="B90" s="7">
        <v>7.4909667753591206E-3</v>
      </c>
      <c r="D90" s="6" t="str">
        <f t="shared" si="3"/>
        <v>05/07/2024</v>
      </c>
      <c r="E90" s="6" t="str">
        <f t="shared" si="4"/>
        <v>MSA1BIO Index</v>
      </c>
      <c r="F90" s="5">
        <f t="shared" si="5"/>
        <v>7.4909667753591206E-3</v>
      </c>
    </row>
    <row r="91" spans="1:6" x14ac:dyDescent="0.35">
      <c r="A91" s="10">
        <v>45420</v>
      </c>
      <c r="B91" s="9">
        <v>-2.3617914625612243E-2</v>
      </c>
      <c r="D91" s="6" t="str">
        <f t="shared" si="3"/>
        <v>05/08/2024</v>
      </c>
      <c r="E91" s="6" t="str">
        <f t="shared" si="4"/>
        <v>MSA1BIO Index</v>
      </c>
      <c r="F91" s="5">
        <f t="shared" si="5"/>
        <v>-2.3617914625612243E-2</v>
      </c>
    </row>
    <row r="92" spans="1:6" x14ac:dyDescent="0.35">
      <c r="A92" s="8">
        <v>45421</v>
      </c>
      <c r="B92" s="7">
        <v>-4.9274323597922678E-3</v>
      </c>
      <c r="D92" s="6" t="str">
        <f t="shared" si="3"/>
        <v>05/09/2024</v>
      </c>
      <c r="E92" s="6" t="str">
        <f t="shared" si="4"/>
        <v>MSA1BIO Index</v>
      </c>
      <c r="F92" s="5">
        <f t="shared" si="5"/>
        <v>-4.9274323597922678E-3</v>
      </c>
    </row>
    <row r="93" spans="1:6" x14ac:dyDescent="0.35">
      <c r="A93" s="10">
        <v>45422</v>
      </c>
      <c r="B93" s="9">
        <v>-2.8450526694877083E-2</v>
      </c>
      <c r="D93" s="6" t="str">
        <f t="shared" si="3"/>
        <v>05/10/2024</v>
      </c>
      <c r="E93" s="6" t="str">
        <f t="shared" si="4"/>
        <v>MSA1BIO Index</v>
      </c>
      <c r="F93" s="5">
        <f t="shared" si="5"/>
        <v>-2.8450526694877083E-2</v>
      </c>
    </row>
    <row r="94" spans="1:6" x14ac:dyDescent="0.35">
      <c r="A94" s="8">
        <v>45425</v>
      </c>
      <c r="B94" s="7">
        <v>7.5062552126771813E-3</v>
      </c>
      <c r="D94" s="6" t="str">
        <f t="shared" si="3"/>
        <v>05/13/2024</v>
      </c>
      <c r="E94" s="6" t="str">
        <f t="shared" si="4"/>
        <v>MSA1BIO Index</v>
      </c>
      <c r="F94" s="5">
        <f t="shared" si="5"/>
        <v>7.5062552126771813E-3</v>
      </c>
    </row>
    <row r="95" spans="1:6" x14ac:dyDescent="0.35">
      <c r="A95" s="10">
        <v>45426</v>
      </c>
      <c r="B95" s="9">
        <v>1.1037527593819142E-2</v>
      </c>
      <c r="D95" s="6" t="str">
        <f t="shared" si="3"/>
        <v>05/14/2024</v>
      </c>
      <c r="E95" s="6" t="str">
        <f t="shared" si="4"/>
        <v>MSA1BIO Index</v>
      </c>
      <c r="F95" s="5">
        <f t="shared" si="5"/>
        <v>1.1037527593819142E-2</v>
      </c>
    </row>
    <row r="96" spans="1:6" x14ac:dyDescent="0.35">
      <c r="A96" s="8">
        <v>45427</v>
      </c>
      <c r="B96" s="7">
        <v>1.6484031393857405E-2</v>
      </c>
      <c r="D96" s="6" t="str">
        <f t="shared" si="3"/>
        <v>05/15/2024</v>
      </c>
      <c r="E96" s="6" t="str">
        <f t="shared" si="4"/>
        <v>MSA1BIO Index</v>
      </c>
      <c r="F96" s="5">
        <f t="shared" si="5"/>
        <v>1.6484031393857405E-2</v>
      </c>
    </row>
    <row r="97" spans="1:6" x14ac:dyDescent="0.35">
      <c r="A97" s="10">
        <v>45428</v>
      </c>
      <c r="B97" s="9">
        <v>1.4320236283897837E-3</v>
      </c>
      <c r="D97" s="6" t="str">
        <f t="shared" si="3"/>
        <v>05/16/2024</v>
      </c>
      <c r="E97" s="6" t="str">
        <f t="shared" si="4"/>
        <v>MSA1BIO Index</v>
      </c>
      <c r="F97" s="5">
        <f t="shared" si="5"/>
        <v>1.4320236283897837E-3</v>
      </c>
    </row>
    <row r="98" spans="1:6" x14ac:dyDescent="0.35">
      <c r="A98" s="8">
        <v>45429</v>
      </c>
      <c r="B98" s="7">
        <v>-1.0546072035034449E-2</v>
      </c>
      <c r="D98" s="6" t="str">
        <f t="shared" si="3"/>
        <v>05/17/2024</v>
      </c>
      <c r="E98" s="6" t="str">
        <f t="shared" si="4"/>
        <v>MSA1BIO Index</v>
      </c>
      <c r="F98" s="5">
        <f t="shared" si="5"/>
        <v>-1.0546072035034449E-2</v>
      </c>
    </row>
    <row r="99" spans="1:6" x14ac:dyDescent="0.35">
      <c r="A99" s="10">
        <v>45432</v>
      </c>
      <c r="B99" s="9">
        <v>1.0477824948062589E-2</v>
      </c>
      <c r="D99" s="6" t="str">
        <f t="shared" si="3"/>
        <v>05/20/2024</v>
      </c>
      <c r="E99" s="6" t="str">
        <f t="shared" si="4"/>
        <v>MSA1BIO Index</v>
      </c>
      <c r="F99" s="5">
        <f t="shared" si="5"/>
        <v>1.0477824948062589E-2</v>
      </c>
    </row>
    <row r="100" spans="1:6" x14ac:dyDescent="0.35">
      <c r="A100" s="8">
        <v>45433</v>
      </c>
      <c r="B100" s="7">
        <v>-1.1531241619737254E-2</v>
      </c>
      <c r="D100" s="6" t="str">
        <f t="shared" si="3"/>
        <v>05/21/2024</v>
      </c>
      <c r="E100" s="6" t="str">
        <f t="shared" si="4"/>
        <v>MSA1BIO Index</v>
      </c>
      <c r="F100" s="5">
        <f t="shared" si="5"/>
        <v>-1.1531241619737254E-2</v>
      </c>
    </row>
    <row r="101" spans="1:6" x14ac:dyDescent="0.35">
      <c r="A101" s="10">
        <v>45434</v>
      </c>
      <c r="B101" s="9">
        <v>2.6225357207451823E-3</v>
      </c>
      <c r="D101" s="6" t="str">
        <f t="shared" si="3"/>
        <v>05/22/2024</v>
      </c>
      <c r="E101" s="6" t="str">
        <f t="shared" si="4"/>
        <v>MSA1BIO Index</v>
      </c>
      <c r="F101" s="5">
        <f t="shared" si="5"/>
        <v>2.6225357207451823E-3</v>
      </c>
    </row>
    <row r="102" spans="1:6" x14ac:dyDescent="0.35">
      <c r="A102" s="8">
        <v>45435</v>
      </c>
      <c r="B102" s="7">
        <v>-3.0035176332641762E-2</v>
      </c>
      <c r="D102" s="6" t="str">
        <f t="shared" si="3"/>
        <v>05/23/2024</v>
      </c>
      <c r="E102" s="6" t="str">
        <f t="shared" si="4"/>
        <v>MSA1BIO Index</v>
      </c>
      <c r="F102" s="5">
        <f t="shared" si="5"/>
        <v>-3.0035176332641762E-2</v>
      </c>
    </row>
    <row r="103" spans="1:6" x14ac:dyDescent="0.35">
      <c r="A103" s="10">
        <v>45436</v>
      </c>
      <c r="B103" s="9">
        <v>1.7667844522967972E-3</v>
      </c>
      <c r="D103" s="6" t="str">
        <f t="shared" si="3"/>
        <v>05/24/2024</v>
      </c>
      <c r="E103" s="6" t="str">
        <f t="shared" si="4"/>
        <v>MSA1BIO Index</v>
      </c>
      <c r="F103" s="5">
        <f t="shared" si="5"/>
        <v>1.7667844522967972E-3</v>
      </c>
    </row>
    <row r="104" spans="1:6" x14ac:dyDescent="0.35">
      <c r="A104" s="8">
        <v>45440</v>
      </c>
      <c r="B104" s="7">
        <v>3.0632135895293125E-3</v>
      </c>
      <c r="D104" s="6" t="str">
        <f t="shared" si="3"/>
        <v>05/28/2024</v>
      </c>
      <c r="E104" s="6" t="str">
        <f t="shared" si="4"/>
        <v>MSA1BIO Index</v>
      </c>
      <c r="F104" s="5">
        <f t="shared" si="5"/>
        <v>3.0632135895293125E-3</v>
      </c>
    </row>
    <row r="105" spans="1:6" x14ac:dyDescent="0.35">
      <c r="A105" s="10">
        <v>45441</v>
      </c>
      <c r="B105" s="9">
        <v>-1.6009624282805866E-2</v>
      </c>
      <c r="D105" s="6" t="str">
        <f t="shared" si="3"/>
        <v>05/29/2024</v>
      </c>
      <c r="E105" s="6" t="str">
        <f t="shared" si="4"/>
        <v>MSA1BIO Index</v>
      </c>
      <c r="F105" s="5">
        <f t="shared" si="5"/>
        <v>-1.6009624282805866E-2</v>
      </c>
    </row>
    <row r="106" spans="1:6" x14ac:dyDescent="0.35">
      <c r="A106" s="8">
        <v>45442</v>
      </c>
      <c r="B106" s="7">
        <v>1.2602275933414927E-2</v>
      </c>
      <c r="D106" s="6" t="str">
        <f t="shared" si="3"/>
        <v>05/30/2024</v>
      </c>
      <c r="E106" s="6" t="str">
        <f t="shared" si="4"/>
        <v>MSA1BIO Index</v>
      </c>
      <c r="F106" s="5">
        <f t="shared" si="5"/>
        <v>1.2602275933414927E-2</v>
      </c>
    </row>
    <row r="107" spans="1:6" x14ac:dyDescent="0.35">
      <c r="A107" s="10">
        <v>45443</v>
      </c>
      <c r="B107" s="9">
        <v>4.4580663137364154E-3</v>
      </c>
      <c r="D107" s="6" t="str">
        <f t="shared" si="3"/>
        <v>05/31/2024</v>
      </c>
      <c r="E107" s="6" t="str">
        <f t="shared" si="4"/>
        <v>MSA1BIO Index</v>
      </c>
      <c r="F107" s="5">
        <f t="shared" si="5"/>
        <v>4.4580663137364154E-3</v>
      </c>
    </row>
    <row r="108" spans="1:6" x14ac:dyDescent="0.35">
      <c r="A108" s="8">
        <v>45446</v>
      </c>
      <c r="B108" s="7">
        <v>1.1469422384425713E-2</v>
      </c>
      <c r="D108" s="6" t="str">
        <f t="shared" si="3"/>
        <v>06/03/2024</v>
      </c>
      <c r="E108" s="6" t="str">
        <f t="shared" si="4"/>
        <v>MSA1BIO Index</v>
      </c>
      <c r="F108" s="5">
        <f t="shared" si="5"/>
        <v>1.1469422384425713E-2</v>
      </c>
    </row>
    <row r="109" spans="1:6" x14ac:dyDescent="0.35">
      <c r="A109" s="10">
        <v>45447</v>
      </c>
      <c r="B109" s="9">
        <v>-7.0390346466770474E-3</v>
      </c>
      <c r="D109" s="6" t="str">
        <f t="shared" si="3"/>
        <v>06/04/2024</v>
      </c>
      <c r="E109" s="6" t="str">
        <f t="shared" si="4"/>
        <v>MSA1BIO Index</v>
      </c>
      <c r="F109" s="5">
        <f t="shared" si="5"/>
        <v>-7.0390346466770474E-3</v>
      </c>
    </row>
    <row r="110" spans="1:6" x14ac:dyDescent="0.35">
      <c r="A110" s="8">
        <v>45448</v>
      </c>
      <c r="B110" s="7">
        <v>2.7300556085562807E-2</v>
      </c>
      <c r="D110" s="6" t="str">
        <f t="shared" si="3"/>
        <v>06/05/2024</v>
      </c>
      <c r="E110" s="6" t="str">
        <f t="shared" si="4"/>
        <v>MSA1BIO Index</v>
      </c>
      <c r="F110" s="5">
        <f t="shared" si="5"/>
        <v>2.7300556085562807E-2</v>
      </c>
    </row>
    <row r="111" spans="1:6" x14ac:dyDescent="0.35">
      <c r="A111" s="10">
        <v>45449</v>
      </c>
      <c r="B111" s="9">
        <v>-1.5863057895680117E-2</v>
      </c>
      <c r="D111" s="6" t="str">
        <f t="shared" si="3"/>
        <v>06/06/2024</v>
      </c>
      <c r="E111" s="6" t="str">
        <f t="shared" si="4"/>
        <v>MSA1BIO Index</v>
      </c>
      <c r="F111" s="5">
        <f t="shared" si="5"/>
        <v>-1.5863057895680117E-2</v>
      </c>
    </row>
    <row r="112" spans="1:6" x14ac:dyDescent="0.35">
      <c r="A112" s="8">
        <v>45450</v>
      </c>
      <c r="B112" s="7">
        <v>-1.0472634550587513E-2</v>
      </c>
      <c r="D112" s="6" t="str">
        <f t="shared" si="3"/>
        <v>06/07/2024</v>
      </c>
      <c r="E112" s="6" t="str">
        <f t="shared" si="4"/>
        <v>MSA1BIO Index</v>
      </c>
      <c r="F112" s="5">
        <f t="shared" si="5"/>
        <v>-1.0472634550587513E-2</v>
      </c>
    </row>
    <row r="113" spans="1:6" x14ac:dyDescent="0.35">
      <c r="A113" s="10">
        <v>45453</v>
      </c>
      <c r="B113" s="9">
        <v>7.1783545002761309E-3</v>
      </c>
      <c r="D113" s="6" t="str">
        <f t="shared" si="3"/>
        <v>06/10/2024</v>
      </c>
      <c r="E113" s="6" t="str">
        <f t="shared" si="4"/>
        <v>MSA1BIO Index</v>
      </c>
      <c r="F113" s="5">
        <f t="shared" si="5"/>
        <v>7.1783545002761309E-3</v>
      </c>
    </row>
    <row r="114" spans="1:6" x14ac:dyDescent="0.35">
      <c r="A114" s="8">
        <v>45454</v>
      </c>
      <c r="B114" s="7">
        <v>6.3048245614035396E-3</v>
      </c>
      <c r="D114" s="6" t="str">
        <f t="shared" si="3"/>
        <v>06/11/2024</v>
      </c>
      <c r="E114" s="6" t="str">
        <f t="shared" si="4"/>
        <v>MSA1BIO Index</v>
      </c>
      <c r="F114" s="5">
        <f t="shared" si="5"/>
        <v>6.3048245614035396E-3</v>
      </c>
    </row>
    <row r="115" spans="1:6" x14ac:dyDescent="0.35">
      <c r="A115" s="10">
        <v>45455</v>
      </c>
      <c r="B115" s="9">
        <v>1.3166258058657903E-2</v>
      </c>
      <c r="D115" s="6" t="str">
        <f t="shared" si="3"/>
        <v>06/12/2024</v>
      </c>
      <c r="E115" s="6" t="str">
        <f t="shared" si="4"/>
        <v>MSA1BIO Index</v>
      </c>
      <c r="F115" s="5">
        <f t="shared" si="5"/>
        <v>1.3166258058657903E-2</v>
      </c>
    </row>
    <row r="116" spans="1:6" x14ac:dyDescent="0.35">
      <c r="A116" s="8">
        <v>45456</v>
      </c>
      <c r="B116" s="7">
        <v>-8.962179602078627E-4</v>
      </c>
      <c r="D116" s="6" t="str">
        <f t="shared" si="3"/>
        <v>06/13/2024</v>
      </c>
      <c r="E116" s="6" t="str">
        <f t="shared" si="4"/>
        <v>MSA1BIO Index</v>
      </c>
      <c r="F116" s="5">
        <f t="shared" si="5"/>
        <v>-8.962179602078627E-4</v>
      </c>
    </row>
    <row r="117" spans="1:6" x14ac:dyDescent="0.35">
      <c r="A117" s="10">
        <v>45457</v>
      </c>
      <c r="B117" s="9">
        <v>-2.236822407948795E-2</v>
      </c>
      <c r="D117" s="6" t="str">
        <f t="shared" si="3"/>
        <v>06/14/2024</v>
      </c>
      <c r="E117" s="6" t="str">
        <f t="shared" si="4"/>
        <v>MSA1BIO Index</v>
      </c>
      <c r="F117" s="5">
        <f t="shared" si="5"/>
        <v>-2.236822407948795E-2</v>
      </c>
    </row>
    <row r="118" spans="1:6" x14ac:dyDescent="0.35">
      <c r="A118" s="8">
        <v>45460</v>
      </c>
      <c r="B118" s="7">
        <v>-1.8221302633120363E-2</v>
      </c>
      <c r="D118" s="6" t="str">
        <f t="shared" si="3"/>
        <v>06/17/2024</v>
      </c>
      <c r="E118" s="6" t="str">
        <f t="shared" si="4"/>
        <v>MSA1BIO Index</v>
      </c>
      <c r="F118" s="5">
        <f t="shared" si="5"/>
        <v>-1.8221302633120363E-2</v>
      </c>
    </row>
    <row r="119" spans="1:6" x14ac:dyDescent="0.35">
      <c r="A119" s="10">
        <v>45461</v>
      </c>
      <c r="B119" s="9">
        <v>-1.5141602018880148E-2</v>
      </c>
      <c r="D119" s="6" t="str">
        <f t="shared" si="3"/>
        <v>06/18/2024</v>
      </c>
      <c r="E119" s="6" t="str">
        <f t="shared" si="4"/>
        <v>MSA1BIO Index</v>
      </c>
      <c r="F119" s="5">
        <f t="shared" si="5"/>
        <v>-1.5141602018880148E-2</v>
      </c>
    </row>
    <row r="120" spans="1:6" x14ac:dyDescent="0.35">
      <c r="A120" s="8">
        <v>45463</v>
      </c>
      <c r="B120" s="7">
        <v>-1.8980734554428593E-3</v>
      </c>
      <c r="D120" s="6" t="str">
        <f t="shared" si="3"/>
        <v>06/20/2024</v>
      </c>
      <c r="E120" s="6" t="str">
        <f t="shared" si="4"/>
        <v>MSA1BIO Index</v>
      </c>
      <c r="F120" s="5">
        <f t="shared" si="5"/>
        <v>-1.8980734554428593E-3</v>
      </c>
    </row>
    <row r="121" spans="1:6" x14ac:dyDescent="0.35">
      <c r="A121" s="10">
        <v>45464</v>
      </c>
      <c r="B121" s="9">
        <v>1.9967671389179487E-2</v>
      </c>
      <c r="D121" s="6" t="str">
        <f t="shared" si="3"/>
        <v>06/21/2024</v>
      </c>
      <c r="E121" s="6" t="str">
        <f t="shared" si="4"/>
        <v>MSA1BIO Index</v>
      </c>
      <c r="F121" s="5">
        <f t="shared" si="5"/>
        <v>1.9967671389179487E-2</v>
      </c>
    </row>
    <row r="122" spans="1:6" x14ac:dyDescent="0.35">
      <c r="A122" s="8">
        <v>45467</v>
      </c>
      <c r="B122" s="7">
        <v>1.0068052577607825E-2</v>
      </c>
      <c r="D122" s="6" t="str">
        <f t="shared" si="3"/>
        <v>06/24/2024</v>
      </c>
      <c r="E122" s="6" t="str">
        <f t="shared" si="4"/>
        <v>MSA1BIO Index</v>
      </c>
      <c r="F122" s="5">
        <f t="shared" si="5"/>
        <v>1.0068052577607825E-2</v>
      </c>
    </row>
    <row r="123" spans="1:6" x14ac:dyDescent="0.35">
      <c r="A123" s="10">
        <v>45468</v>
      </c>
      <c r="B123" s="9">
        <v>-1.4582371942778019E-2</v>
      </c>
      <c r="D123" s="6" t="str">
        <f t="shared" si="3"/>
        <v>06/25/2024</v>
      </c>
      <c r="E123" s="6" t="str">
        <f t="shared" si="4"/>
        <v>MSA1BIO Index</v>
      </c>
      <c r="F123" s="5">
        <f t="shared" si="5"/>
        <v>-1.4582371942778019E-2</v>
      </c>
    </row>
    <row r="124" spans="1:6" x14ac:dyDescent="0.35">
      <c r="A124" s="8">
        <v>45469</v>
      </c>
      <c r="B124" s="7">
        <v>-1.2924978926664778E-2</v>
      </c>
      <c r="D124" s="6" t="str">
        <f t="shared" si="3"/>
        <v>06/26/2024</v>
      </c>
      <c r="E124" s="6" t="str">
        <f t="shared" si="4"/>
        <v>MSA1BIO Index</v>
      </c>
      <c r="F124" s="5">
        <f t="shared" si="5"/>
        <v>-1.2924978926664778E-2</v>
      </c>
    </row>
    <row r="125" spans="1:6" x14ac:dyDescent="0.35">
      <c r="A125" s="10">
        <v>45470</v>
      </c>
      <c r="B125" s="9">
        <v>1.2430021823702442E-2</v>
      </c>
      <c r="D125" s="6" t="str">
        <f t="shared" si="3"/>
        <v>06/27/2024</v>
      </c>
      <c r="E125" s="6" t="str">
        <f t="shared" si="4"/>
        <v>MSA1BIO Index</v>
      </c>
      <c r="F125" s="5">
        <f t="shared" si="5"/>
        <v>1.2430021823702442E-2</v>
      </c>
    </row>
    <row r="126" spans="1:6" x14ac:dyDescent="0.35">
      <c r="A126" s="8">
        <v>45471</v>
      </c>
      <c r="B126" s="7">
        <v>1.0309278350515529E-3</v>
      </c>
      <c r="D126" s="6" t="str">
        <f t="shared" si="3"/>
        <v>06/28/2024</v>
      </c>
      <c r="E126" s="6" t="str">
        <f t="shared" si="4"/>
        <v>MSA1BIO Index</v>
      </c>
      <c r="F126" s="5">
        <f t="shared" si="5"/>
        <v>1.0309278350515529E-3</v>
      </c>
    </row>
    <row r="127" spans="1:6" x14ac:dyDescent="0.35">
      <c r="A127" s="10">
        <v>45474</v>
      </c>
      <c r="B127" s="9">
        <v>4.4939612395843605E-3</v>
      </c>
      <c r="D127" s="6" t="str">
        <f t="shared" si="3"/>
        <v>07/01/2024</v>
      </c>
      <c r="E127" s="6" t="str">
        <f t="shared" si="4"/>
        <v>MSA1BIO Index</v>
      </c>
      <c r="F127" s="5">
        <f t="shared" si="5"/>
        <v>4.4939612395843605E-3</v>
      </c>
    </row>
    <row r="128" spans="1:6" x14ac:dyDescent="0.35">
      <c r="A128" s="8">
        <v>45475</v>
      </c>
      <c r="B128" s="7">
        <v>-3.0198527355764768E-2</v>
      </c>
      <c r="D128" s="6" t="str">
        <f t="shared" si="3"/>
        <v>07/02/2024</v>
      </c>
      <c r="E128" s="6" t="str">
        <f t="shared" si="4"/>
        <v>MSA1BIO Index</v>
      </c>
      <c r="F128" s="5">
        <f t="shared" si="5"/>
        <v>-3.0198527355764768E-2</v>
      </c>
    </row>
    <row r="129" spans="1:6" x14ac:dyDescent="0.35">
      <c r="A129" s="10">
        <v>45476</v>
      </c>
      <c r="B129" s="9">
        <v>-5.7664584334458653E-4</v>
      </c>
      <c r="D129" s="6" t="str">
        <f t="shared" si="3"/>
        <v>07/03/2024</v>
      </c>
      <c r="E129" s="6" t="str">
        <f t="shared" si="4"/>
        <v>MSA1BIO Index</v>
      </c>
      <c r="F129" s="5">
        <f t="shared" si="5"/>
        <v>-5.7664584334458653E-4</v>
      </c>
    </row>
    <row r="130" spans="1:6" x14ac:dyDescent="0.35">
      <c r="A130" s="8">
        <v>45478</v>
      </c>
      <c r="B130" s="7">
        <v>9.0393307048755624E-3</v>
      </c>
      <c r="D130" s="6" t="str">
        <f t="shared" si="3"/>
        <v>07/05/2024</v>
      </c>
      <c r="E130" s="6" t="str">
        <f t="shared" si="4"/>
        <v>MSA1BIO Index</v>
      </c>
      <c r="F130" s="5">
        <f t="shared" si="5"/>
        <v>9.0393307048755624E-3</v>
      </c>
    </row>
    <row r="131" spans="1:6" x14ac:dyDescent="0.35">
      <c r="A131" s="10">
        <v>45481</v>
      </c>
      <c r="B131" s="9">
        <v>2.1442866673020068E-2</v>
      </c>
      <c r="D131" s="6" t="str">
        <f t="shared" ref="D131:D194" si="6">IF(A131 =  "", "",  TEXT(A131, "mm/dd/yyyy"))</f>
        <v>07/08/2024</v>
      </c>
      <c r="E131" s="6" t="str">
        <f t="shared" ref="E131:E194" si="7">IF(A131="", "", EntityLocal)</f>
        <v>MSA1BIO Index</v>
      </c>
      <c r="F131" s="5">
        <f t="shared" ref="F131:F194" si="8">IF(B131="","", B131)</f>
        <v>2.1442866673020068E-2</v>
      </c>
    </row>
    <row r="132" spans="1:6" x14ac:dyDescent="0.35">
      <c r="A132" s="8">
        <v>45482</v>
      </c>
      <c r="B132" s="7">
        <v>2.3698451203582712E-2</v>
      </c>
      <c r="D132" s="6" t="str">
        <f t="shared" si="6"/>
        <v>07/09/2024</v>
      </c>
      <c r="E132" s="6" t="str">
        <f t="shared" si="7"/>
        <v>MSA1BIO Index</v>
      </c>
      <c r="F132" s="5">
        <f t="shared" si="8"/>
        <v>2.3698451203582712E-2</v>
      </c>
    </row>
    <row r="133" spans="1:6" x14ac:dyDescent="0.35">
      <c r="A133" s="10">
        <v>45483</v>
      </c>
      <c r="B133" s="9">
        <v>9.4786729857820138E-3</v>
      </c>
      <c r="D133" s="6" t="str">
        <f t="shared" si="6"/>
        <v>07/10/2024</v>
      </c>
      <c r="E133" s="6" t="str">
        <f t="shared" si="7"/>
        <v>MSA1BIO Index</v>
      </c>
      <c r="F133" s="5">
        <f t="shared" si="8"/>
        <v>9.4786729857820138E-3</v>
      </c>
    </row>
    <row r="134" spans="1:6" x14ac:dyDescent="0.35">
      <c r="A134" s="8">
        <v>45484</v>
      </c>
      <c r="B134" s="7">
        <v>4.3788371253159951E-2</v>
      </c>
      <c r="D134" s="6" t="str">
        <f t="shared" si="6"/>
        <v>07/11/2024</v>
      </c>
      <c r="E134" s="6" t="str">
        <f t="shared" si="7"/>
        <v>MSA1BIO Index</v>
      </c>
      <c r="F134" s="5">
        <f t="shared" si="8"/>
        <v>4.3788371253159951E-2</v>
      </c>
    </row>
    <row r="135" spans="1:6" x14ac:dyDescent="0.35">
      <c r="A135" s="10">
        <v>45485</v>
      </c>
      <c r="B135" s="9">
        <v>1.6002075944987423E-2</v>
      </c>
      <c r="D135" s="6" t="str">
        <f t="shared" si="6"/>
        <v>07/12/2024</v>
      </c>
      <c r="E135" s="6" t="str">
        <f t="shared" si="7"/>
        <v>MSA1BIO Index</v>
      </c>
      <c r="F135" s="5">
        <f t="shared" si="8"/>
        <v>1.6002075944987423E-2</v>
      </c>
    </row>
    <row r="136" spans="1:6" x14ac:dyDescent="0.35">
      <c r="A136" s="8">
        <v>45488</v>
      </c>
      <c r="B136" s="7">
        <v>1.6063820068274885E-2</v>
      </c>
      <c r="D136" s="6" t="str">
        <f t="shared" si="6"/>
        <v>07/15/2024</v>
      </c>
      <c r="E136" s="6" t="str">
        <f t="shared" si="7"/>
        <v>MSA1BIO Index</v>
      </c>
      <c r="F136" s="5">
        <f t="shared" si="8"/>
        <v>1.6063820068274885E-2</v>
      </c>
    </row>
    <row r="137" spans="1:6" x14ac:dyDescent="0.35">
      <c r="A137" s="10">
        <v>45489</v>
      </c>
      <c r="B137" s="9">
        <v>2.7568292274174584E-2</v>
      </c>
      <c r="D137" s="6" t="str">
        <f t="shared" si="6"/>
        <v>07/16/2024</v>
      </c>
      <c r="E137" s="6" t="str">
        <f t="shared" si="7"/>
        <v>MSA1BIO Index</v>
      </c>
      <c r="F137" s="5">
        <f t="shared" si="8"/>
        <v>2.7568292274174584E-2</v>
      </c>
    </row>
    <row r="138" spans="1:6" x14ac:dyDescent="0.35">
      <c r="A138" s="8">
        <v>45490</v>
      </c>
      <c r="B138" s="7">
        <v>-2.7644132757074079E-2</v>
      </c>
      <c r="D138" s="6" t="str">
        <f t="shared" si="6"/>
        <v>07/17/2024</v>
      </c>
      <c r="E138" s="6" t="str">
        <f t="shared" si="7"/>
        <v>MSA1BIO Index</v>
      </c>
      <c r="F138" s="5">
        <f t="shared" si="8"/>
        <v>-2.7644132757074079E-2</v>
      </c>
    </row>
    <row r="139" spans="1:6" x14ac:dyDescent="0.35">
      <c r="A139" s="10">
        <v>45491</v>
      </c>
      <c r="B139" s="9">
        <v>-2.7843005702784241E-2</v>
      </c>
      <c r="D139" s="6" t="str">
        <f t="shared" si="6"/>
        <v>07/18/2024</v>
      </c>
      <c r="E139" s="6" t="str">
        <f t="shared" si="7"/>
        <v>MSA1BIO Index</v>
      </c>
      <c r="F139" s="5">
        <f t="shared" si="8"/>
        <v>-2.7843005702784241E-2</v>
      </c>
    </row>
    <row r="140" spans="1:6" x14ac:dyDescent="0.35">
      <c r="A140" s="8">
        <v>45492</v>
      </c>
      <c r="B140" s="7">
        <v>-4.3133195307109365E-3</v>
      </c>
      <c r="D140" s="6" t="str">
        <f t="shared" si="6"/>
        <v>07/19/2024</v>
      </c>
      <c r="E140" s="6" t="str">
        <f t="shared" si="7"/>
        <v>MSA1BIO Index</v>
      </c>
      <c r="F140" s="5">
        <f t="shared" si="8"/>
        <v>-4.3133195307109365E-3</v>
      </c>
    </row>
    <row r="141" spans="1:6" x14ac:dyDescent="0.35">
      <c r="A141" s="10">
        <v>45495</v>
      </c>
      <c r="B141" s="9">
        <v>2.3046265811817703E-2</v>
      </c>
      <c r="D141" s="6" t="str">
        <f t="shared" si="6"/>
        <v>07/22/2024</v>
      </c>
      <c r="E141" s="6" t="str">
        <f t="shared" si="7"/>
        <v>MSA1BIO Index</v>
      </c>
      <c r="F141" s="5">
        <f t="shared" si="8"/>
        <v>2.3046265811817703E-2</v>
      </c>
    </row>
    <row r="142" spans="1:6" x14ac:dyDescent="0.35">
      <c r="A142" s="8">
        <v>45496</v>
      </c>
      <c r="B142" s="7">
        <v>1.2364498644986491E-2</v>
      </c>
      <c r="D142" s="6" t="str">
        <f t="shared" si="6"/>
        <v>07/23/2024</v>
      </c>
      <c r="E142" s="6" t="str">
        <f t="shared" si="7"/>
        <v>MSA1BIO Index</v>
      </c>
      <c r="F142" s="5">
        <f t="shared" si="8"/>
        <v>1.2364498644986491E-2</v>
      </c>
    </row>
    <row r="143" spans="1:6" x14ac:dyDescent="0.35">
      <c r="A143" s="10">
        <v>45497</v>
      </c>
      <c r="B143" s="9">
        <v>-8.0307846745859696E-3</v>
      </c>
      <c r="D143" s="6" t="str">
        <f t="shared" si="6"/>
        <v>07/24/2024</v>
      </c>
      <c r="E143" s="6" t="str">
        <f t="shared" si="7"/>
        <v>MSA1BIO Index</v>
      </c>
      <c r="F143" s="5">
        <f t="shared" si="8"/>
        <v>-8.0307846745859696E-3</v>
      </c>
    </row>
    <row r="144" spans="1:6" x14ac:dyDescent="0.35">
      <c r="A144" s="8">
        <v>45498</v>
      </c>
      <c r="B144" s="7">
        <v>9.9510878731659171E-3</v>
      </c>
      <c r="D144" s="6" t="str">
        <f t="shared" si="6"/>
        <v>07/25/2024</v>
      </c>
      <c r="E144" s="6" t="str">
        <f t="shared" si="7"/>
        <v>MSA1BIO Index</v>
      </c>
      <c r="F144" s="5">
        <f t="shared" si="8"/>
        <v>9.9510878731659171E-3</v>
      </c>
    </row>
    <row r="145" spans="1:6" x14ac:dyDescent="0.35">
      <c r="A145" s="10">
        <v>45499</v>
      </c>
      <c r="B145" s="9">
        <v>1.1439545758182993E-2</v>
      </c>
      <c r="D145" s="6" t="str">
        <f t="shared" si="6"/>
        <v>07/26/2024</v>
      </c>
      <c r="E145" s="6" t="str">
        <f t="shared" si="7"/>
        <v>MSA1BIO Index</v>
      </c>
      <c r="F145" s="5">
        <f t="shared" si="8"/>
        <v>1.1439545758182993E-2</v>
      </c>
    </row>
    <row r="146" spans="1:6" x14ac:dyDescent="0.35">
      <c r="A146" s="8">
        <v>45502</v>
      </c>
      <c r="B146" s="7">
        <v>-1.9730867662841683E-2</v>
      </c>
      <c r="D146" s="6" t="str">
        <f t="shared" si="6"/>
        <v>07/29/2024</v>
      </c>
      <c r="E146" s="6" t="str">
        <f t="shared" si="7"/>
        <v>MSA1BIO Index</v>
      </c>
      <c r="F146" s="5">
        <f t="shared" si="8"/>
        <v>-1.9730867662841683E-2</v>
      </c>
    </row>
    <row r="147" spans="1:6" x14ac:dyDescent="0.35">
      <c r="A147" s="10">
        <v>45503</v>
      </c>
      <c r="B147" s="9">
        <v>-1.0358767054067533E-2</v>
      </c>
      <c r="D147" s="6" t="str">
        <f t="shared" si="6"/>
        <v>07/30/2024</v>
      </c>
      <c r="E147" s="6" t="str">
        <f t="shared" si="7"/>
        <v>MSA1BIO Index</v>
      </c>
      <c r="F147" s="5">
        <f t="shared" si="8"/>
        <v>-1.0358767054067533E-2</v>
      </c>
    </row>
    <row r="148" spans="1:6" x14ac:dyDescent="0.35">
      <c r="A148" s="8">
        <v>45504</v>
      </c>
      <c r="B148" s="7">
        <v>6.5526338183982949E-3</v>
      </c>
      <c r="D148" s="6" t="str">
        <f t="shared" si="6"/>
        <v>07/31/2024</v>
      </c>
      <c r="E148" s="6" t="str">
        <f t="shared" si="7"/>
        <v>MSA1BIO Index</v>
      </c>
      <c r="F148" s="5">
        <f t="shared" si="8"/>
        <v>6.5526338183982949E-3</v>
      </c>
    </row>
    <row r="149" spans="1:6" x14ac:dyDescent="0.35">
      <c r="A149" s="10">
        <v>45505</v>
      </c>
      <c r="B149" s="9">
        <v>-2.130537707135596E-2</v>
      </c>
      <c r="D149" s="6" t="str">
        <f t="shared" si="6"/>
        <v>08/01/2024</v>
      </c>
      <c r="E149" s="6" t="str">
        <f t="shared" si="7"/>
        <v>MSA1BIO Index</v>
      </c>
      <c r="F149" s="5">
        <f t="shared" si="8"/>
        <v>-2.130537707135596E-2</v>
      </c>
    </row>
    <row r="150" spans="1:6" x14ac:dyDescent="0.35">
      <c r="A150" s="8">
        <v>45506</v>
      </c>
      <c r="B150" s="7">
        <v>-3.2135452660677306E-2</v>
      </c>
      <c r="D150" s="6" t="str">
        <f t="shared" si="6"/>
        <v>08/02/2024</v>
      </c>
      <c r="E150" s="6" t="str">
        <f t="shared" si="7"/>
        <v>MSA1BIO Index</v>
      </c>
      <c r="F150" s="5">
        <f t="shared" si="8"/>
        <v>-3.2135452660677306E-2</v>
      </c>
    </row>
    <row r="151" spans="1:6" x14ac:dyDescent="0.35">
      <c r="A151" s="10">
        <v>45509</v>
      </c>
      <c r="B151" s="9">
        <v>-3.2756158514816121E-2</v>
      </c>
      <c r="D151" s="6" t="str">
        <f t="shared" si="6"/>
        <v>08/05/2024</v>
      </c>
      <c r="E151" s="6" t="str">
        <f t="shared" si="7"/>
        <v>MSA1BIO Index</v>
      </c>
      <c r="F151" s="5">
        <f t="shared" si="8"/>
        <v>-3.2756158514816121E-2</v>
      </c>
    </row>
    <row r="152" spans="1:6" x14ac:dyDescent="0.35">
      <c r="A152" s="8">
        <v>45510</v>
      </c>
      <c r="B152" s="7">
        <v>1.0427240011073114E-2</v>
      </c>
      <c r="D152" s="6" t="str">
        <f t="shared" si="6"/>
        <v>08/06/2024</v>
      </c>
      <c r="E152" s="6" t="str">
        <f t="shared" si="7"/>
        <v>MSA1BIO Index</v>
      </c>
      <c r="F152" s="5">
        <f t="shared" si="8"/>
        <v>1.0427240011073114E-2</v>
      </c>
    </row>
    <row r="153" spans="1:6" x14ac:dyDescent="0.35">
      <c r="A153" s="10">
        <v>45511</v>
      </c>
      <c r="B153" s="9">
        <v>-2.4200913242009216E-2</v>
      </c>
      <c r="D153" s="6" t="str">
        <f t="shared" si="6"/>
        <v>08/07/2024</v>
      </c>
      <c r="E153" s="6" t="str">
        <f t="shared" si="7"/>
        <v>MSA1BIO Index</v>
      </c>
      <c r="F153" s="5">
        <f t="shared" si="8"/>
        <v>-2.4200913242009216E-2</v>
      </c>
    </row>
    <row r="154" spans="1:6" x14ac:dyDescent="0.35">
      <c r="A154" s="8">
        <v>45512</v>
      </c>
      <c r="B154" s="7">
        <v>2.9854936827328118E-2</v>
      </c>
      <c r="D154" s="6" t="str">
        <f t="shared" si="6"/>
        <v>08/08/2024</v>
      </c>
      <c r="E154" s="6" t="str">
        <f t="shared" si="7"/>
        <v>MSA1BIO Index</v>
      </c>
      <c r="F154" s="5">
        <f t="shared" si="8"/>
        <v>2.9854936827328118E-2</v>
      </c>
    </row>
    <row r="155" spans="1:6" x14ac:dyDescent="0.35">
      <c r="A155" s="10">
        <v>45513</v>
      </c>
      <c r="B155" s="9">
        <v>1.1177753544165694E-2</v>
      </c>
      <c r="D155" s="6" t="str">
        <f t="shared" si="6"/>
        <v>08/09/2024</v>
      </c>
      <c r="E155" s="6" t="str">
        <f t="shared" si="7"/>
        <v>MSA1BIO Index</v>
      </c>
      <c r="F155" s="5">
        <f t="shared" si="8"/>
        <v>1.1177753544165694E-2</v>
      </c>
    </row>
    <row r="156" spans="1:6" x14ac:dyDescent="0.35">
      <c r="A156" s="8">
        <v>45516</v>
      </c>
      <c r="B156" s="7">
        <v>-1.5278152242293578E-3</v>
      </c>
      <c r="D156" s="6" t="str">
        <f t="shared" si="6"/>
        <v>08/12/2024</v>
      </c>
      <c r="E156" s="6" t="str">
        <f t="shared" si="7"/>
        <v>MSA1BIO Index</v>
      </c>
      <c r="F156" s="5">
        <f t="shared" si="8"/>
        <v>-1.5278152242293578E-3</v>
      </c>
    </row>
    <row r="157" spans="1:6" x14ac:dyDescent="0.35">
      <c r="A157" s="10">
        <v>45517</v>
      </c>
      <c r="B157" s="9">
        <v>2.2772277227722786E-2</v>
      </c>
      <c r="D157" s="6" t="str">
        <f t="shared" si="6"/>
        <v>08/13/2024</v>
      </c>
      <c r="E157" s="6" t="str">
        <f t="shared" si="7"/>
        <v>MSA1BIO Index</v>
      </c>
      <c r="F157" s="5">
        <f t="shared" si="8"/>
        <v>2.2772277227722786E-2</v>
      </c>
    </row>
    <row r="158" spans="1:6" x14ac:dyDescent="0.35">
      <c r="A158" s="8">
        <v>45518</v>
      </c>
      <c r="B158" s="7">
        <v>-7.0403942620786445E-3</v>
      </c>
      <c r="D158" s="6" t="str">
        <f t="shared" si="6"/>
        <v>08/14/2024</v>
      </c>
      <c r="E158" s="6" t="str">
        <f t="shared" si="7"/>
        <v>MSA1BIO Index</v>
      </c>
      <c r="F158" s="5">
        <f t="shared" si="8"/>
        <v>-7.0403942620786445E-3</v>
      </c>
    </row>
    <row r="159" spans="1:6" x14ac:dyDescent="0.35">
      <c r="A159" s="10">
        <v>45519</v>
      </c>
      <c r="B159" s="9">
        <v>2.6162895280142508E-2</v>
      </c>
      <c r="D159" s="6" t="str">
        <f t="shared" si="6"/>
        <v>08/15/2024</v>
      </c>
      <c r="E159" s="6" t="str">
        <f t="shared" si="7"/>
        <v>MSA1BIO Index</v>
      </c>
      <c r="F159" s="5">
        <f t="shared" si="8"/>
        <v>2.6162895280142508E-2</v>
      </c>
    </row>
    <row r="160" spans="1:6" x14ac:dyDescent="0.35">
      <c r="A160" s="8">
        <v>45520</v>
      </c>
      <c r="B160" s="7">
        <v>-1.3819312489203376E-3</v>
      </c>
      <c r="D160" s="6" t="str">
        <f t="shared" si="6"/>
        <v>08/16/2024</v>
      </c>
      <c r="E160" s="6" t="str">
        <f t="shared" si="7"/>
        <v>MSA1BIO Index</v>
      </c>
      <c r="F160" s="5">
        <f t="shared" si="8"/>
        <v>-1.3819312489203376E-3</v>
      </c>
    </row>
    <row r="161" spans="1:6" x14ac:dyDescent="0.35">
      <c r="A161" s="10">
        <v>45523</v>
      </c>
      <c r="B161" s="9">
        <v>2.5860577754713662E-2</v>
      </c>
      <c r="D161" s="6" t="str">
        <f t="shared" si="6"/>
        <v>08/19/2024</v>
      </c>
      <c r="E161" s="6" t="str">
        <f t="shared" si="7"/>
        <v>MSA1BIO Index</v>
      </c>
      <c r="F161" s="5">
        <f t="shared" si="8"/>
        <v>2.5860577754713662E-2</v>
      </c>
    </row>
    <row r="162" spans="1:6" x14ac:dyDescent="0.35">
      <c r="A162" s="8">
        <v>45524</v>
      </c>
      <c r="B162" s="7">
        <v>1.6861984655593912E-3</v>
      </c>
      <c r="D162" s="6" t="str">
        <f t="shared" si="6"/>
        <v>08/20/2024</v>
      </c>
      <c r="E162" s="6" t="str">
        <f t="shared" si="7"/>
        <v>MSA1BIO Index</v>
      </c>
      <c r="F162" s="5">
        <f t="shared" si="8"/>
        <v>1.6861984655593912E-3</v>
      </c>
    </row>
    <row r="163" spans="1:6" x14ac:dyDescent="0.35">
      <c r="A163" s="10">
        <v>45525</v>
      </c>
      <c r="B163" s="9">
        <v>9.9318239205454257E-3</v>
      </c>
      <c r="D163" s="6" t="str">
        <f t="shared" si="6"/>
        <v>08/21/2024</v>
      </c>
      <c r="E163" s="6" t="str">
        <f t="shared" si="7"/>
        <v>MSA1BIO Index</v>
      </c>
      <c r="F163" s="5">
        <f t="shared" si="8"/>
        <v>9.9318239205454257E-3</v>
      </c>
    </row>
    <row r="164" spans="1:6" x14ac:dyDescent="0.35">
      <c r="A164" s="8">
        <v>45526</v>
      </c>
      <c r="B164" s="7">
        <v>-1.8418201516793103E-2</v>
      </c>
      <c r="D164" s="6" t="str">
        <f t="shared" si="6"/>
        <v>08/22/2024</v>
      </c>
      <c r="E164" s="6" t="str">
        <f t="shared" si="7"/>
        <v>MSA1BIO Index</v>
      </c>
      <c r="F164" s="5">
        <f t="shared" si="8"/>
        <v>-1.8418201516793103E-2</v>
      </c>
    </row>
    <row r="165" spans="1:6" x14ac:dyDescent="0.35">
      <c r="A165" s="10">
        <v>45527</v>
      </c>
      <c r="B165" s="9">
        <v>2.2839191713363977E-2</v>
      </c>
      <c r="D165" s="6" t="str">
        <f t="shared" si="6"/>
        <v>08/23/2024</v>
      </c>
      <c r="E165" s="6" t="str">
        <f t="shared" si="7"/>
        <v>MSA1BIO Index</v>
      </c>
      <c r="F165" s="5">
        <f t="shared" si="8"/>
        <v>2.2839191713363977E-2</v>
      </c>
    </row>
    <row r="166" spans="1:6" x14ac:dyDescent="0.35">
      <c r="A166" s="8">
        <v>45530</v>
      </c>
      <c r="B166" s="7">
        <v>9.6289532663733166E-3</v>
      </c>
      <c r="D166" s="6" t="str">
        <f t="shared" si="6"/>
        <v>08/26/2024</v>
      </c>
      <c r="E166" s="6" t="str">
        <f t="shared" si="7"/>
        <v>MSA1BIO Index</v>
      </c>
      <c r="F166" s="5">
        <f t="shared" si="8"/>
        <v>9.6289532663733166E-3</v>
      </c>
    </row>
    <row r="167" spans="1:6" x14ac:dyDescent="0.35">
      <c r="A167" s="10">
        <v>45531</v>
      </c>
      <c r="B167" s="9">
        <v>-9.6193373345392161E-3</v>
      </c>
      <c r="D167" s="6" t="str">
        <f t="shared" si="6"/>
        <v>08/27/2024</v>
      </c>
      <c r="E167" s="6" t="str">
        <f t="shared" si="7"/>
        <v>MSA1BIO Index</v>
      </c>
      <c r="F167" s="5">
        <f t="shared" si="8"/>
        <v>-9.6193373345392161E-3</v>
      </c>
    </row>
    <row r="168" spans="1:6" x14ac:dyDescent="0.35">
      <c r="A168" s="8">
        <v>45532</v>
      </c>
      <c r="B168" s="7">
        <v>-8.4675410924787593E-3</v>
      </c>
      <c r="D168" s="6" t="str">
        <f t="shared" si="6"/>
        <v>08/28/2024</v>
      </c>
      <c r="E168" s="6" t="str">
        <f t="shared" si="7"/>
        <v>MSA1BIO Index</v>
      </c>
      <c r="F168" s="5">
        <f t="shared" si="8"/>
        <v>-8.4675410924787593E-3</v>
      </c>
    </row>
    <row r="169" spans="1:6" x14ac:dyDescent="0.35">
      <c r="A169" s="10">
        <v>45533</v>
      </c>
      <c r="B169" s="9">
        <v>-5.8606831882111624E-4</v>
      </c>
      <c r="D169" s="6" t="str">
        <f t="shared" si="6"/>
        <v>08/29/2024</v>
      </c>
      <c r="E169" s="6" t="str">
        <f t="shared" si="7"/>
        <v>MSA1BIO Index</v>
      </c>
      <c r="F169" s="5">
        <f t="shared" si="8"/>
        <v>-5.8606831882111624E-4</v>
      </c>
    </row>
    <row r="170" spans="1:6" x14ac:dyDescent="0.35">
      <c r="A170" s="8">
        <v>45534</v>
      </c>
      <c r="B170" s="7">
        <v>8.9672882550952179E-3</v>
      </c>
      <c r="D170" s="6" t="str">
        <f t="shared" si="6"/>
        <v>08/30/2024</v>
      </c>
      <c r="E170" s="6" t="str">
        <f t="shared" si="7"/>
        <v>MSA1BIO Index</v>
      </c>
      <c r="F170" s="5">
        <f t="shared" si="8"/>
        <v>8.9672882550952179E-3</v>
      </c>
    </row>
    <row r="171" spans="1:6" x14ac:dyDescent="0.35">
      <c r="A171" s="10">
        <v>45538</v>
      </c>
      <c r="B171" s="9">
        <v>-3.8359349053470652E-2</v>
      </c>
      <c r="D171" s="6" t="str">
        <f t="shared" si="6"/>
        <v>09/03/2024</v>
      </c>
      <c r="E171" s="6" t="str">
        <f t="shared" si="7"/>
        <v>MSA1BIO Index</v>
      </c>
      <c r="F171" s="5">
        <f t="shared" si="8"/>
        <v>-3.8359349053470652E-2</v>
      </c>
    </row>
    <row r="172" spans="1:6" x14ac:dyDescent="0.35">
      <c r="A172" s="8">
        <v>45539</v>
      </c>
      <c r="B172" s="7">
        <v>2.1194851036641306E-3</v>
      </c>
      <c r="D172" s="6" t="str">
        <f t="shared" si="6"/>
        <v>09/04/2024</v>
      </c>
      <c r="E172" s="6" t="str">
        <f t="shared" si="7"/>
        <v>MSA1BIO Index</v>
      </c>
      <c r="F172" s="5">
        <f t="shared" si="8"/>
        <v>2.1194851036641306E-3</v>
      </c>
    </row>
    <row r="173" spans="1:6" x14ac:dyDescent="0.35">
      <c r="A173" s="10">
        <v>45540</v>
      </c>
      <c r="B173" s="9">
        <v>-2.5848698948819047E-3</v>
      </c>
      <c r="D173" s="6" t="str">
        <f t="shared" si="6"/>
        <v>09/05/2024</v>
      </c>
      <c r="E173" s="6" t="str">
        <f t="shared" si="7"/>
        <v>MSA1BIO Index</v>
      </c>
      <c r="F173" s="5">
        <f t="shared" si="8"/>
        <v>-2.5848698948819047E-3</v>
      </c>
    </row>
    <row r="174" spans="1:6" x14ac:dyDescent="0.35">
      <c r="A174" s="8">
        <v>45541</v>
      </c>
      <c r="B174" s="7">
        <v>-1.6586040082930176E-2</v>
      </c>
      <c r="D174" s="6" t="str">
        <f t="shared" si="6"/>
        <v>09/06/2024</v>
      </c>
      <c r="E174" s="6" t="str">
        <f t="shared" si="7"/>
        <v>MSA1BIO Index</v>
      </c>
      <c r="F174" s="5">
        <f t="shared" si="8"/>
        <v>-1.6586040082930176E-2</v>
      </c>
    </row>
    <row r="175" spans="1:6" x14ac:dyDescent="0.35">
      <c r="A175" s="10">
        <v>45544</v>
      </c>
      <c r="B175" s="9">
        <v>1.7919887561489715E-2</v>
      </c>
      <c r="D175" s="6" t="str">
        <f t="shared" si="6"/>
        <v>09/09/2024</v>
      </c>
      <c r="E175" s="6" t="str">
        <f t="shared" si="7"/>
        <v>MSA1BIO Index</v>
      </c>
      <c r="F175" s="5">
        <f t="shared" si="8"/>
        <v>1.7919887561489715E-2</v>
      </c>
    </row>
    <row r="176" spans="1:6" x14ac:dyDescent="0.35">
      <c r="A176" s="8">
        <v>45545</v>
      </c>
      <c r="B176" s="7">
        <v>3.5381429064550193E-3</v>
      </c>
      <c r="D176" s="6" t="str">
        <f t="shared" si="6"/>
        <v>09/10/2024</v>
      </c>
      <c r="E176" s="6" t="str">
        <f t="shared" si="7"/>
        <v>MSA1BIO Index</v>
      </c>
      <c r="F176" s="5">
        <f t="shared" si="8"/>
        <v>3.5381429064550193E-3</v>
      </c>
    </row>
    <row r="177" spans="1:6" x14ac:dyDescent="0.35">
      <c r="A177" s="10">
        <v>45546</v>
      </c>
      <c r="B177" s="9">
        <v>1.3758706681571001E-3</v>
      </c>
      <c r="D177" s="6" t="str">
        <f t="shared" si="6"/>
        <v>09/11/2024</v>
      </c>
      <c r="E177" s="6" t="str">
        <f t="shared" si="7"/>
        <v>MSA1BIO Index</v>
      </c>
      <c r="F177" s="5">
        <f t="shared" si="8"/>
        <v>1.3758706681571001E-3</v>
      </c>
    </row>
    <row r="178" spans="1:6" x14ac:dyDescent="0.35">
      <c r="A178" s="8">
        <v>45547</v>
      </c>
      <c r="B178" s="7">
        <v>4.6371833404894097E-3</v>
      </c>
      <c r="D178" s="6" t="str">
        <f t="shared" si="6"/>
        <v>09/12/2024</v>
      </c>
      <c r="E178" s="6" t="str">
        <f t="shared" si="7"/>
        <v>MSA1BIO Index</v>
      </c>
      <c r="F178" s="5">
        <f t="shared" si="8"/>
        <v>4.6371833404894097E-3</v>
      </c>
    </row>
    <row r="179" spans="1:6" x14ac:dyDescent="0.35">
      <c r="A179" s="10">
        <v>45548</v>
      </c>
      <c r="B179" s="9">
        <v>3.3647560346668597E-2</v>
      </c>
      <c r="D179" s="6" t="str">
        <f t="shared" si="6"/>
        <v>09/13/2024</v>
      </c>
      <c r="E179" s="6" t="str">
        <f t="shared" si="7"/>
        <v>MSA1BIO Index</v>
      </c>
      <c r="F179" s="5">
        <f t="shared" si="8"/>
        <v>3.3647560346668597E-2</v>
      </c>
    </row>
    <row r="180" spans="1:6" x14ac:dyDescent="0.35">
      <c r="A180" s="8">
        <v>45551</v>
      </c>
      <c r="B180" s="7">
        <v>-7.4903450973707111E-3</v>
      </c>
      <c r="D180" s="6" t="str">
        <f t="shared" si="6"/>
        <v>09/16/2024</v>
      </c>
      <c r="E180" s="6" t="str">
        <f t="shared" si="7"/>
        <v>MSA1BIO Index</v>
      </c>
      <c r="F180" s="5">
        <f t="shared" si="8"/>
        <v>-7.4903450973707111E-3</v>
      </c>
    </row>
    <row r="181" spans="1:6" x14ac:dyDescent="0.35">
      <c r="A181" s="10">
        <v>45552</v>
      </c>
      <c r="B181" s="9">
        <v>1.6665277893507685E-3</v>
      </c>
      <c r="D181" s="6" t="str">
        <f t="shared" si="6"/>
        <v>09/17/2024</v>
      </c>
      <c r="E181" s="6" t="str">
        <f t="shared" si="7"/>
        <v>MSA1BIO Index</v>
      </c>
      <c r="F181" s="5">
        <f t="shared" si="8"/>
        <v>1.6665277893507685E-3</v>
      </c>
    </row>
    <row r="182" spans="1:6" x14ac:dyDescent="0.35">
      <c r="A182" s="8">
        <v>45553</v>
      </c>
      <c r="B182" s="7">
        <v>2.0796938690625317E-3</v>
      </c>
      <c r="D182" s="6" t="str">
        <f t="shared" si="6"/>
        <v>09/18/2024</v>
      </c>
      <c r="E182" s="6" t="str">
        <f t="shared" si="7"/>
        <v>MSA1BIO Index</v>
      </c>
      <c r="F182" s="5">
        <f t="shared" si="8"/>
        <v>2.0796938690625317E-3</v>
      </c>
    </row>
    <row r="183" spans="1:6" x14ac:dyDescent="0.35">
      <c r="A183" s="10">
        <v>45554</v>
      </c>
      <c r="B183" s="9">
        <v>2.6149759256184672E-2</v>
      </c>
      <c r="D183" s="6" t="str">
        <f t="shared" si="6"/>
        <v>09/19/2024</v>
      </c>
      <c r="E183" s="6" t="str">
        <f t="shared" si="7"/>
        <v>MSA1BIO Index</v>
      </c>
      <c r="F183" s="5">
        <f t="shared" si="8"/>
        <v>2.6149759256184672E-2</v>
      </c>
    </row>
    <row r="184" spans="1:6" x14ac:dyDescent="0.35">
      <c r="A184" s="8">
        <v>45555</v>
      </c>
      <c r="B184" s="7">
        <v>-6.8764663053150418E-3</v>
      </c>
      <c r="D184" s="6" t="str">
        <f t="shared" si="6"/>
        <v>09/20/2024</v>
      </c>
      <c r="E184" s="6" t="str">
        <f t="shared" si="7"/>
        <v>MSA1BIO Index</v>
      </c>
      <c r="F184" s="5">
        <f t="shared" si="8"/>
        <v>-6.8764663053150418E-3</v>
      </c>
    </row>
    <row r="185" spans="1:6" x14ac:dyDescent="0.35">
      <c r="A185" s="10">
        <v>45558</v>
      </c>
      <c r="B185" s="9">
        <v>-2.8266536331052475E-2</v>
      </c>
      <c r="D185" s="6" t="str">
        <f t="shared" si="6"/>
        <v>09/23/2024</v>
      </c>
      <c r="E185" s="6" t="str">
        <f t="shared" si="7"/>
        <v>MSA1BIO Index</v>
      </c>
      <c r="F185" s="5">
        <f t="shared" si="8"/>
        <v>-2.8266536331052475E-2</v>
      </c>
    </row>
    <row r="186" spans="1:6" x14ac:dyDescent="0.35">
      <c r="A186" s="8">
        <v>45559</v>
      </c>
      <c r="B186" s="7">
        <v>-2.5148797049204236E-4</v>
      </c>
      <c r="D186" s="6" t="str">
        <f t="shared" si="6"/>
        <v>09/24/2024</v>
      </c>
      <c r="E186" s="6" t="str">
        <f t="shared" si="7"/>
        <v>MSA1BIO Index</v>
      </c>
      <c r="F186" s="5">
        <f t="shared" si="8"/>
        <v>-2.5148797049204236E-4</v>
      </c>
    </row>
    <row r="187" spans="1:6" x14ac:dyDescent="0.35">
      <c r="A187" s="10">
        <v>45560</v>
      </c>
      <c r="B187" s="9">
        <v>-9.6427972497065747E-3</v>
      </c>
      <c r="D187" s="6" t="str">
        <f t="shared" si="6"/>
        <v>09/25/2024</v>
      </c>
      <c r="E187" s="6" t="str">
        <f t="shared" si="7"/>
        <v>MSA1BIO Index</v>
      </c>
      <c r="F187" s="5">
        <f t="shared" si="8"/>
        <v>-9.6427972497065747E-3</v>
      </c>
    </row>
    <row r="188" spans="1:6" x14ac:dyDescent="0.35">
      <c r="A188" s="8">
        <v>45561</v>
      </c>
      <c r="B188" s="7">
        <v>2.4553382440098315E-3</v>
      </c>
      <c r="D188" s="6" t="str">
        <f t="shared" si="6"/>
        <v>09/26/2024</v>
      </c>
      <c r="E188" s="6" t="str">
        <f t="shared" si="7"/>
        <v>MSA1BIO Index</v>
      </c>
      <c r="F188" s="5">
        <f t="shared" si="8"/>
        <v>2.4553382440098315E-3</v>
      </c>
    </row>
    <row r="189" spans="1:6" x14ac:dyDescent="0.35">
      <c r="A189" s="10">
        <v>45562</v>
      </c>
      <c r="B189" s="9">
        <v>1.6891891891890685E-3</v>
      </c>
      <c r="D189" s="6" t="str">
        <f t="shared" si="6"/>
        <v>09/27/2024</v>
      </c>
      <c r="E189" s="6" t="str">
        <f t="shared" si="7"/>
        <v>MSA1BIO Index</v>
      </c>
      <c r="F189" s="5">
        <f t="shared" si="8"/>
        <v>1.6891891891890685E-3</v>
      </c>
    </row>
    <row r="190" spans="1:6" x14ac:dyDescent="0.35">
      <c r="A190" s="8">
        <v>45565</v>
      </c>
      <c r="B190" s="7">
        <v>8.2630691399662917E-3</v>
      </c>
      <c r="D190" s="6" t="str">
        <f t="shared" si="6"/>
        <v>09/30/2024</v>
      </c>
      <c r="E190" s="6" t="str">
        <f t="shared" si="7"/>
        <v>MSA1BIO Index</v>
      </c>
      <c r="F190" s="5">
        <f t="shared" si="8"/>
        <v>8.2630691399662917E-3</v>
      </c>
    </row>
    <row r="191" spans="1:6" x14ac:dyDescent="0.35">
      <c r="A191" s="10">
        <v>45566</v>
      </c>
      <c r="B191" s="9">
        <v>-6.7737079779227136E-3</v>
      </c>
      <c r="D191" s="6" t="str">
        <f t="shared" si="6"/>
        <v>10/01/2024</v>
      </c>
      <c r="E191" s="6" t="str">
        <f t="shared" si="7"/>
        <v>MSA1BIO Index</v>
      </c>
      <c r="F191" s="5">
        <f t="shared" si="8"/>
        <v>-6.7737079779227136E-3</v>
      </c>
    </row>
    <row r="192" spans="1:6" x14ac:dyDescent="0.35">
      <c r="A192" s="8">
        <v>45567</v>
      </c>
      <c r="B192" s="7">
        <v>1.9365159552076261E-3</v>
      </c>
      <c r="D192" s="6" t="str">
        <f t="shared" si="6"/>
        <v>10/02/2024</v>
      </c>
      <c r="E192" s="6" t="str">
        <f t="shared" si="7"/>
        <v>MSA1BIO Index</v>
      </c>
      <c r="F192" s="5">
        <f t="shared" si="8"/>
        <v>1.9365159552076261E-3</v>
      </c>
    </row>
    <row r="193" spans="1:6" x14ac:dyDescent="0.35">
      <c r="A193" s="10">
        <v>45568</v>
      </c>
      <c r="B193" s="9">
        <v>-1.3529411764705979E-2</v>
      </c>
      <c r="D193" s="6" t="str">
        <f t="shared" si="6"/>
        <v>10/03/2024</v>
      </c>
      <c r="E193" s="6" t="str">
        <f t="shared" si="7"/>
        <v>MSA1BIO Index</v>
      </c>
      <c r="F193" s="5">
        <f t="shared" si="8"/>
        <v>-1.3529411764705979E-2</v>
      </c>
    </row>
    <row r="194" spans="1:6" x14ac:dyDescent="0.35">
      <c r="A194" s="8">
        <v>45569</v>
      </c>
      <c r="B194" s="7">
        <v>2.0444671607462418E-2</v>
      </c>
      <c r="D194" s="6" t="str">
        <f t="shared" si="6"/>
        <v>10/04/2024</v>
      </c>
      <c r="E194" s="6" t="str">
        <f t="shared" si="7"/>
        <v>MSA1BIO Index</v>
      </c>
      <c r="F194" s="5">
        <f t="shared" si="8"/>
        <v>2.0444671607462418E-2</v>
      </c>
    </row>
    <row r="195" spans="1:6" x14ac:dyDescent="0.35">
      <c r="A195" s="10">
        <v>45572</v>
      </c>
      <c r="B195" s="9">
        <v>-1.6445446197512453E-2</v>
      </c>
      <c r="D195" s="6" t="str">
        <f t="shared" ref="D195:D258" si="9">IF(A195 =  "", "",  TEXT(A195, "mm/dd/yyyy"))</f>
        <v>10/07/2024</v>
      </c>
      <c r="E195" s="6" t="str">
        <f t="shared" ref="E195:E258" si="10">IF(A195="", "", EntityLocal)</f>
        <v>MSA1BIO Index</v>
      </c>
      <c r="F195" s="5">
        <f t="shared" ref="F195:F258" si="11">IF(B195="","", B195)</f>
        <v>-1.6445446197512453E-2</v>
      </c>
    </row>
    <row r="196" spans="1:6" x14ac:dyDescent="0.35">
      <c r="A196" s="8">
        <v>45573</v>
      </c>
      <c r="B196" s="7">
        <v>1.1288406043116697E-2</v>
      </c>
      <c r="D196" s="6" t="str">
        <f t="shared" si="9"/>
        <v>10/08/2024</v>
      </c>
      <c r="E196" s="6" t="str">
        <f t="shared" si="10"/>
        <v>MSA1BIO Index</v>
      </c>
      <c r="F196" s="5">
        <f t="shared" si="11"/>
        <v>1.1288406043116697E-2</v>
      </c>
    </row>
    <row r="197" spans="1:6" x14ac:dyDescent="0.35">
      <c r="A197" s="10">
        <v>45574</v>
      </c>
      <c r="B197" s="9">
        <v>-7.8052874527905595E-3</v>
      </c>
      <c r="D197" s="6" t="str">
        <f t="shared" si="9"/>
        <v>10/09/2024</v>
      </c>
      <c r="E197" s="6" t="str">
        <f t="shared" si="10"/>
        <v>MSA1BIO Index</v>
      </c>
      <c r="F197" s="5">
        <f t="shared" si="11"/>
        <v>-7.8052874527905595E-3</v>
      </c>
    </row>
    <row r="198" spans="1:6" x14ac:dyDescent="0.35">
      <c r="A198" s="8">
        <v>45575</v>
      </c>
      <c r="B198" s="7">
        <v>-9.7276264591440228E-3</v>
      </c>
      <c r="D198" s="6" t="str">
        <f t="shared" si="9"/>
        <v>10/10/2024</v>
      </c>
      <c r="E198" s="6" t="str">
        <f t="shared" si="10"/>
        <v>MSA1BIO Index</v>
      </c>
      <c r="F198" s="5">
        <f t="shared" si="11"/>
        <v>-9.7276264591440228E-3</v>
      </c>
    </row>
    <row r="199" spans="1:6" x14ac:dyDescent="0.35">
      <c r="A199" s="10">
        <v>45576</v>
      </c>
      <c r="B199" s="9">
        <v>2.9725805073887425E-2</v>
      </c>
      <c r="D199" s="6" t="str">
        <f t="shared" si="9"/>
        <v>10/11/2024</v>
      </c>
      <c r="E199" s="6" t="str">
        <f t="shared" si="10"/>
        <v>MSA1BIO Index</v>
      </c>
      <c r="F199" s="5">
        <f t="shared" si="11"/>
        <v>2.9725805073887425E-2</v>
      </c>
    </row>
    <row r="200" spans="1:6" x14ac:dyDescent="0.35">
      <c r="A200" s="8">
        <v>45579</v>
      </c>
      <c r="B200" s="7">
        <v>3.7328909166321591E-3</v>
      </c>
      <c r="D200" s="6" t="str">
        <f t="shared" si="9"/>
        <v>10/14/2024</v>
      </c>
      <c r="E200" s="6" t="str">
        <f t="shared" si="10"/>
        <v>MSA1BIO Index</v>
      </c>
      <c r="F200" s="5">
        <f t="shared" si="11"/>
        <v>3.7328909166321591E-3</v>
      </c>
    </row>
    <row r="201" spans="1:6" x14ac:dyDescent="0.35">
      <c r="A201" s="10">
        <v>45580</v>
      </c>
      <c r="B201" s="9">
        <v>4.9330310716667542E-3</v>
      </c>
      <c r="D201" s="6" t="str">
        <f t="shared" si="9"/>
        <v>10/15/2024</v>
      </c>
      <c r="E201" s="6" t="str">
        <f t="shared" si="10"/>
        <v>MSA1BIO Index</v>
      </c>
      <c r="F201" s="5">
        <f t="shared" si="11"/>
        <v>4.9330310716667542E-3</v>
      </c>
    </row>
    <row r="202" spans="1:6" x14ac:dyDescent="0.35">
      <c r="A202" s="8">
        <v>45581</v>
      </c>
      <c r="B202" s="7">
        <v>2.113660662883448E-2</v>
      </c>
      <c r="D202" s="6" t="str">
        <f t="shared" si="9"/>
        <v>10/16/2024</v>
      </c>
      <c r="E202" s="6" t="str">
        <f t="shared" si="10"/>
        <v>MSA1BIO Index</v>
      </c>
      <c r="F202" s="5">
        <f t="shared" si="11"/>
        <v>2.113660662883448E-2</v>
      </c>
    </row>
    <row r="203" spans="1:6" x14ac:dyDescent="0.35">
      <c r="A203" s="10">
        <v>45582</v>
      </c>
      <c r="B203" s="9">
        <v>-9.2622422680411036E-3</v>
      </c>
      <c r="D203" s="6" t="str">
        <f t="shared" si="9"/>
        <v>10/17/2024</v>
      </c>
      <c r="E203" s="6" t="str">
        <f t="shared" si="10"/>
        <v>MSA1BIO Index</v>
      </c>
      <c r="F203" s="5">
        <f t="shared" si="11"/>
        <v>-9.2622422680411036E-3</v>
      </c>
    </row>
    <row r="204" spans="1:6" x14ac:dyDescent="0.35">
      <c r="A204" s="8">
        <v>45583</v>
      </c>
      <c r="B204" s="7">
        <v>7.1538899276481077E-3</v>
      </c>
      <c r="D204" s="6" t="str">
        <f t="shared" si="9"/>
        <v>10/18/2024</v>
      </c>
      <c r="E204" s="6" t="str">
        <f t="shared" si="10"/>
        <v>MSA1BIO Index</v>
      </c>
      <c r="F204" s="5">
        <f t="shared" si="11"/>
        <v>7.1538899276481077E-3</v>
      </c>
    </row>
    <row r="205" spans="1:6" x14ac:dyDescent="0.35">
      <c r="A205" s="10">
        <v>45586</v>
      </c>
      <c r="B205" s="9">
        <v>-1.606263620954073E-2</v>
      </c>
      <c r="D205" s="6" t="str">
        <f t="shared" si="9"/>
        <v>10/21/2024</v>
      </c>
      <c r="E205" s="6" t="str">
        <f t="shared" si="10"/>
        <v>MSA1BIO Index</v>
      </c>
      <c r="F205" s="5">
        <f t="shared" si="11"/>
        <v>-1.606263620954073E-2</v>
      </c>
    </row>
    <row r="206" spans="1:6" x14ac:dyDescent="0.35">
      <c r="A206" s="8">
        <v>45587</v>
      </c>
      <c r="B206" s="7">
        <v>4.9220672682526046E-3</v>
      </c>
      <c r="D206" s="6" t="str">
        <f t="shared" si="9"/>
        <v>10/22/2024</v>
      </c>
      <c r="E206" s="6" t="str">
        <f t="shared" si="10"/>
        <v>MSA1BIO Index</v>
      </c>
      <c r="F206" s="5">
        <f t="shared" si="11"/>
        <v>4.9220672682526046E-3</v>
      </c>
    </row>
    <row r="207" spans="1:6" x14ac:dyDescent="0.35">
      <c r="A207" s="10">
        <v>45588</v>
      </c>
      <c r="B207" s="9">
        <v>-1.3387755102040728E-2</v>
      </c>
      <c r="D207" s="6" t="str">
        <f t="shared" si="9"/>
        <v>10/23/2024</v>
      </c>
      <c r="E207" s="6" t="str">
        <f t="shared" si="10"/>
        <v>MSA1BIO Index</v>
      </c>
      <c r="F207" s="5">
        <f t="shared" si="11"/>
        <v>-1.3387755102040728E-2</v>
      </c>
    </row>
    <row r="208" spans="1:6" x14ac:dyDescent="0.35">
      <c r="A208" s="8">
        <v>45589</v>
      </c>
      <c r="B208" s="7">
        <v>-4.302498758894574E-3</v>
      </c>
      <c r="D208" s="6" t="str">
        <f t="shared" si="9"/>
        <v>10/24/2024</v>
      </c>
      <c r="E208" s="6" t="str">
        <f t="shared" si="10"/>
        <v>MSA1BIO Index</v>
      </c>
      <c r="F208" s="5">
        <f t="shared" si="11"/>
        <v>-4.302498758894574E-3</v>
      </c>
    </row>
    <row r="209" spans="1:6" x14ac:dyDescent="0.35">
      <c r="A209" s="10">
        <v>45590</v>
      </c>
      <c r="B209" s="9">
        <v>-3.3239155725445732E-3</v>
      </c>
      <c r="D209" s="6" t="str">
        <f t="shared" si="9"/>
        <v>10/25/2024</v>
      </c>
      <c r="E209" s="6" t="str">
        <f t="shared" si="10"/>
        <v>MSA1BIO Index</v>
      </c>
      <c r="F209" s="5">
        <f t="shared" si="11"/>
        <v>-3.3239155725445732E-3</v>
      </c>
    </row>
    <row r="210" spans="1:6" x14ac:dyDescent="0.35">
      <c r="A210" s="8">
        <v>45593</v>
      </c>
      <c r="B210" s="7">
        <v>2.1344005336001348E-2</v>
      </c>
      <c r="D210" s="6" t="str">
        <f t="shared" si="9"/>
        <v>10/28/2024</v>
      </c>
      <c r="E210" s="6" t="str">
        <f t="shared" si="10"/>
        <v>MSA1BIO Index</v>
      </c>
      <c r="F210" s="5">
        <f t="shared" si="11"/>
        <v>2.1344005336001348E-2</v>
      </c>
    </row>
    <row r="211" spans="1:6" x14ac:dyDescent="0.35">
      <c r="A211" s="10">
        <v>45594</v>
      </c>
      <c r="B211" s="9">
        <v>-6.5306122448974941E-4</v>
      </c>
      <c r="D211" s="6" t="str">
        <f t="shared" si="9"/>
        <v>10/29/2024</v>
      </c>
      <c r="E211" s="6" t="str">
        <f t="shared" si="10"/>
        <v>MSA1BIO Index</v>
      </c>
      <c r="F211" s="5">
        <f t="shared" si="11"/>
        <v>-6.5306122448974941E-4</v>
      </c>
    </row>
    <row r="212" spans="1:6" x14ac:dyDescent="0.35">
      <c r="A212" s="8">
        <v>45595</v>
      </c>
      <c r="B212" s="7">
        <v>-1.2089527854925671E-2</v>
      </c>
      <c r="D212" s="6" t="str">
        <f t="shared" si="9"/>
        <v>10/30/2024</v>
      </c>
      <c r="E212" s="6" t="str">
        <f t="shared" si="10"/>
        <v>MSA1BIO Index</v>
      </c>
      <c r="F212" s="5">
        <f t="shared" si="11"/>
        <v>-1.2089527854925671E-2</v>
      </c>
    </row>
    <row r="213" spans="1:6" x14ac:dyDescent="0.35">
      <c r="A213" s="10">
        <v>45596</v>
      </c>
      <c r="B213" s="9">
        <v>-1.8190838432280518E-2</v>
      </c>
      <c r="D213" s="6" t="str">
        <f t="shared" si="9"/>
        <v>10/31/2024</v>
      </c>
      <c r="E213" s="6" t="str">
        <f t="shared" si="10"/>
        <v>MSA1BIO Index</v>
      </c>
      <c r="F213" s="5">
        <f t="shared" si="11"/>
        <v>-1.8190838432280518E-2</v>
      </c>
    </row>
    <row r="214" spans="1:6" x14ac:dyDescent="0.35">
      <c r="A214" s="8">
        <v>45597</v>
      </c>
      <c r="B214" s="7">
        <v>1.7348829375105256E-2</v>
      </c>
      <c r="D214" s="6" t="str">
        <f t="shared" si="9"/>
        <v>11/01/2024</v>
      </c>
      <c r="E214" s="6" t="str">
        <f t="shared" si="10"/>
        <v>MSA1BIO Index</v>
      </c>
      <c r="F214" s="5">
        <f t="shared" si="11"/>
        <v>1.7348829375105256E-2</v>
      </c>
    </row>
    <row r="215" spans="1:6" x14ac:dyDescent="0.35">
      <c r="A215" s="10">
        <v>45600</v>
      </c>
      <c r="B215" s="9">
        <v>2.0695364238411318E-3</v>
      </c>
      <c r="D215" s="6" t="str">
        <f t="shared" si="9"/>
        <v>11/04/2024</v>
      </c>
      <c r="E215" s="6" t="str">
        <f t="shared" si="10"/>
        <v>MSA1BIO Index</v>
      </c>
      <c r="F215" s="5">
        <f t="shared" si="11"/>
        <v>2.0695364238411318E-3</v>
      </c>
    </row>
    <row r="216" spans="1:6" x14ac:dyDescent="0.35">
      <c r="A216" s="8">
        <v>45601</v>
      </c>
      <c r="B216" s="7">
        <v>1.2391573729863655E-2</v>
      </c>
      <c r="D216" s="6" t="str">
        <f t="shared" si="9"/>
        <v>11/05/2024</v>
      </c>
      <c r="E216" s="6" t="str">
        <f t="shared" si="10"/>
        <v>MSA1BIO Index</v>
      </c>
      <c r="F216" s="5">
        <f t="shared" si="11"/>
        <v>1.2391573729863655E-2</v>
      </c>
    </row>
    <row r="217" spans="1:6" x14ac:dyDescent="0.35">
      <c r="A217" s="10">
        <v>45602</v>
      </c>
      <c r="B217" s="9">
        <v>3.1007751937984534E-2</v>
      </c>
      <c r="D217" s="6" t="str">
        <f t="shared" si="9"/>
        <v>11/06/2024</v>
      </c>
      <c r="E217" s="6" t="str">
        <f t="shared" si="10"/>
        <v>MSA1BIO Index</v>
      </c>
      <c r="F217" s="5">
        <f t="shared" si="11"/>
        <v>3.1007751937984534E-2</v>
      </c>
    </row>
    <row r="218" spans="1:6" x14ac:dyDescent="0.35">
      <c r="A218" s="8">
        <v>45603</v>
      </c>
      <c r="B218" s="7">
        <v>1.0288880094975082E-3</v>
      </c>
      <c r="D218" s="6" t="str">
        <f t="shared" si="9"/>
        <v>11/07/2024</v>
      </c>
      <c r="E218" s="6" t="str">
        <f t="shared" si="10"/>
        <v>MSA1BIO Index</v>
      </c>
      <c r="F218" s="5">
        <f t="shared" si="11"/>
        <v>1.0288880094975082E-3</v>
      </c>
    </row>
    <row r="219" spans="1:6" x14ac:dyDescent="0.35">
      <c r="A219" s="10">
        <v>45604</v>
      </c>
      <c r="B219" s="9">
        <v>1.9212523719165011E-2</v>
      </c>
      <c r="D219" s="6" t="str">
        <f t="shared" si="9"/>
        <v>11/08/2024</v>
      </c>
      <c r="E219" s="6" t="str">
        <f t="shared" si="10"/>
        <v>MSA1BIO Index</v>
      </c>
      <c r="F219" s="5">
        <f t="shared" si="11"/>
        <v>1.9212523719165011E-2</v>
      </c>
    </row>
    <row r="220" spans="1:6" x14ac:dyDescent="0.35">
      <c r="A220" s="8">
        <v>45607</v>
      </c>
      <c r="B220" s="7">
        <v>4.8871305562018857E-3</v>
      </c>
      <c r="D220" s="6" t="str">
        <f t="shared" si="9"/>
        <v>11/11/2024</v>
      </c>
      <c r="E220" s="6" t="str">
        <f t="shared" si="10"/>
        <v>MSA1BIO Index</v>
      </c>
      <c r="F220" s="5">
        <f t="shared" si="11"/>
        <v>4.8871305562018857E-3</v>
      </c>
    </row>
    <row r="221" spans="1:6" x14ac:dyDescent="0.35">
      <c r="A221" s="10">
        <v>45608</v>
      </c>
      <c r="B221" s="9">
        <v>-2.7173073953990965E-2</v>
      </c>
      <c r="D221" s="6" t="str">
        <f t="shared" si="9"/>
        <v>11/12/2024</v>
      </c>
      <c r="E221" s="6" t="str">
        <f t="shared" si="10"/>
        <v>MSA1BIO Index</v>
      </c>
      <c r="F221" s="5">
        <f t="shared" si="11"/>
        <v>-2.7173073953990965E-2</v>
      </c>
    </row>
    <row r="222" spans="1:6" x14ac:dyDescent="0.35">
      <c r="A222" s="8">
        <v>45609</v>
      </c>
      <c r="B222" s="7">
        <v>-9.0461831455324552E-3</v>
      </c>
      <c r="D222" s="6" t="str">
        <f t="shared" si="9"/>
        <v>11/13/2024</v>
      </c>
      <c r="E222" s="6" t="str">
        <f t="shared" si="10"/>
        <v>MSA1BIO Index</v>
      </c>
      <c r="F222" s="5">
        <f t="shared" si="11"/>
        <v>-9.0461831455324552E-3</v>
      </c>
    </row>
    <row r="223" spans="1:6" x14ac:dyDescent="0.35">
      <c r="A223" s="10">
        <v>45610</v>
      </c>
      <c r="B223" s="9">
        <v>-3.2110826393337566E-2</v>
      </c>
      <c r="D223" s="6" t="str">
        <f t="shared" si="9"/>
        <v>11/14/2024</v>
      </c>
      <c r="E223" s="6" t="str">
        <f t="shared" si="10"/>
        <v>MSA1BIO Index</v>
      </c>
      <c r="F223" s="5">
        <f t="shared" si="11"/>
        <v>-3.2110826393337566E-2</v>
      </c>
    </row>
    <row r="224" spans="1:6" x14ac:dyDescent="0.35">
      <c r="A224" s="8">
        <v>45611</v>
      </c>
      <c r="B224" s="7">
        <v>-5.285017004656415E-2</v>
      </c>
      <c r="D224" s="6" t="str">
        <f t="shared" si="9"/>
        <v>11/15/2024</v>
      </c>
      <c r="E224" s="6" t="str">
        <f t="shared" si="10"/>
        <v>MSA1BIO Index</v>
      </c>
      <c r="F224" s="5">
        <f t="shared" si="11"/>
        <v>-5.285017004656415E-2</v>
      </c>
    </row>
    <row r="225" spans="1:6" x14ac:dyDescent="0.35">
      <c r="A225" s="10">
        <v>45614</v>
      </c>
      <c r="B225" s="9">
        <v>-1.0831586303284535E-2</v>
      </c>
      <c r="D225" s="6" t="str">
        <f t="shared" si="9"/>
        <v>11/18/2024</v>
      </c>
      <c r="E225" s="6" t="str">
        <f t="shared" si="10"/>
        <v>MSA1BIO Index</v>
      </c>
      <c r="F225" s="5">
        <f t="shared" si="11"/>
        <v>-1.0831586303284535E-2</v>
      </c>
    </row>
    <row r="226" spans="1:6" x14ac:dyDescent="0.35">
      <c r="A226" s="8">
        <v>45615</v>
      </c>
      <c r="B226" s="7">
        <v>1.9251148004238831E-2</v>
      </c>
      <c r="D226" s="6" t="str">
        <f t="shared" si="9"/>
        <v>11/19/2024</v>
      </c>
      <c r="E226" s="6" t="str">
        <f t="shared" si="10"/>
        <v>MSA1BIO Index</v>
      </c>
      <c r="F226" s="5">
        <f t="shared" si="11"/>
        <v>1.9251148004238831E-2</v>
      </c>
    </row>
    <row r="227" spans="1:6" x14ac:dyDescent="0.35">
      <c r="A227" s="10">
        <v>45616</v>
      </c>
      <c r="B227" s="9">
        <v>4.0720845607347938E-3</v>
      </c>
      <c r="D227" s="6" t="str">
        <f t="shared" si="9"/>
        <v>11/20/2024</v>
      </c>
      <c r="E227" s="6" t="str">
        <f t="shared" si="10"/>
        <v>MSA1BIO Index</v>
      </c>
      <c r="F227" s="5">
        <f t="shared" si="11"/>
        <v>4.0720845607347938E-3</v>
      </c>
    </row>
    <row r="228" spans="1:6" x14ac:dyDescent="0.35">
      <c r="A228" s="8">
        <v>45617</v>
      </c>
      <c r="B228" s="7">
        <v>-2.3297954957287466E-3</v>
      </c>
      <c r="D228" s="6" t="str">
        <f t="shared" si="9"/>
        <v>11/21/2024</v>
      </c>
      <c r="E228" s="6" t="str">
        <f t="shared" si="10"/>
        <v>MSA1BIO Index</v>
      </c>
      <c r="F228" s="5">
        <f t="shared" si="11"/>
        <v>-2.3297954957287466E-3</v>
      </c>
    </row>
    <row r="229" spans="1:6" x14ac:dyDescent="0.35">
      <c r="A229" s="10">
        <v>45618</v>
      </c>
      <c r="B229" s="9">
        <v>2.0152222798823689E-2</v>
      </c>
      <c r="D229" s="6" t="str">
        <f t="shared" si="9"/>
        <v>11/22/2024</v>
      </c>
      <c r="E229" s="6" t="str">
        <f t="shared" si="10"/>
        <v>MSA1BIO Index</v>
      </c>
      <c r="F229" s="5">
        <f t="shared" si="11"/>
        <v>2.0152222798823689E-2</v>
      </c>
    </row>
    <row r="230" spans="1:6" x14ac:dyDescent="0.35">
      <c r="A230" s="8">
        <v>45621</v>
      </c>
      <c r="B230" s="7">
        <v>7.2064434082237784E-3</v>
      </c>
      <c r="D230" s="6" t="str">
        <f t="shared" si="9"/>
        <v>11/25/2024</v>
      </c>
      <c r="E230" s="6" t="str">
        <f t="shared" si="10"/>
        <v>MSA1BIO Index</v>
      </c>
      <c r="F230" s="5">
        <f t="shared" si="11"/>
        <v>7.2064434082237784E-3</v>
      </c>
    </row>
    <row r="231" spans="1:6" x14ac:dyDescent="0.35">
      <c r="A231" s="10">
        <v>45622</v>
      </c>
      <c r="B231" s="9">
        <v>2.0791245791245853E-2</v>
      </c>
      <c r="D231" s="6" t="str">
        <f t="shared" si="9"/>
        <v>11/26/2024</v>
      </c>
      <c r="E231" s="6" t="str">
        <f t="shared" si="10"/>
        <v>MSA1BIO Index</v>
      </c>
      <c r="F231" s="5">
        <f t="shared" si="11"/>
        <v>2.0791245791245853E-2</v>
      </c>
    </row>
    <row r="232" spans="1:6" x14ac:dyDescent="0.35">
      <c r="A232" s="8">
        <v>45623</v>
      </c>
      <c r="B232" s="7">
        <v>1.1590328402092965E-2</v>
      </c>
      <c r="D232" s="6" t="str">
        <f t="shared" si="9"/>
        <v>11/27/2024</v>
      </c>
      <c r="E232" s="6" t="str">
        <f t="shared" si="10"/>
        <v>MSA1BIO Index</v>
      </c>
      <c r="F232" s="5">
        <f t="shared" si="11"/>
        <v>1.1590328402092965E-2</v>
      </c>
    </row>
    <row r="233" spans="1:6" x14ac:dyDescent="0.35">
      <c r="A233" s="10">
        <v>45625</v>
      </c>
      <c r="B233" s="9">
        <v>4.8911714355589619E-4</v>
      </c>
      <c r="D233" s="6" t="str">
        <f t="shared" si="9"/>
        <v>11/29/2024</v>
      </c>
      <c r="E233" s="6" t="str">
        <f t="shared" si="10"/>
        <v>MSA1BIO Index</v>
      </c>
      <c r="F233" s="5">
        <f t="shared" si="11"/>
        <v>4.8911714355589619E-4</v>
      </c>
    </row>
    <row r="234" spans="1:6" x14ac:dyDescent="0.35">
      <c r="A234" s="8">
        <v>45628</v>
      </c>
      <c r="B234" s="7">
        <v>-5.3741429505261232E-3</v>
      </c>
      <c r="D234" s="6" t="str">
        <f t="shared" si="9"/>
        <v>12/02/2024</v>
      </c>
      <c r="E234" s="6" t="str">
        <f t="shared" si="10"/>
        <v>MSA1BIO Index</v>
      </c>
      <c r="F234" s="5">
        <f t="shared" si="11"/>
        <v>-5.3741429505261232E-3</v>
      </c>
    </row>
    <row r="235" spans="1:6" x14ac:dyDescent="0.35">
      <c r="A235" s="10">
        <v>45629</v>
      </c>
      <c r="B235" s="9">
        <v>-1.5646760055705693E-2</v>
      </c>
      <c r="D235" s="6" t="str">
        <f t="shared" si="9"/>
        <v>12/03/2024</v>
      </c>
      <c r="E235" s="6" t="str">
        <f t="shared" si="10"/>
        <v>MSA1BIO Index</v>
      </c>
      <c r="F235" s="5">
        <f t="shared" si="11"/>
        <v>-1.5646760055705693E-2</v>
      </c>
    </row>
    <row r="236" spans="1:6" x14ac:dyDescent="0.35">
      <c r="A236" s="8">
        <v>45630</v>
      </c>
      <c r="B236" s="7">
        <v>5.4926764314247737E-3</v>
      </c>
      <c r="D236" s="6" t="str">
        <f t="shared" si="9"/>
        <v>12/04/2024</v>
      </c>
      <c r="E236" s="6" t="str">
        <f t="shared" si="10"/>
        <v>MSA1BIO Index</v>
      </c>
      <c r="F236" s="5">
        <f t="shared" si="11"/>
        <v>5.4926764314247737E-3</v>
      </c>
    </row>
    <row r="237" spans="1:6" x14ac:dyDescent="0.35">
      <c r="A237" s="10">
        <v>45631</v>
      </c>
      <c r="B237" s="9">
        <v>-1.9284886608177492E-2</v>
      </c>
      <c r="D237" s="6" t="str">
        <f t="shared" si="9"/>
        <v>12/05/2024</v>
      </c>
      <c r="E237" s="6" t="str">
        <f t="shared" si="10"/>
        <v>MSA1BIO Index</v>
      </c>
      <c r="F237" s="5">
        <f t="shared" si="11"/>
        <v>-1.9284886608177492E-2</v>
      </c>
    </row>
    <row r="238" spans="1:6" x14ac:dyDescent="0.35">
      <c r="A238" s="8">
        <v>45632</v>
      </c>
      <c r="B238" s="7">
        <v>1.6119503755591257E-2</v>
      </c>
      <c r="D238" s="6" t="str">
        <f t="shared" si="9"/>
        <v>12/06/2024</v>
      </c>
      <c r="E238" s="6" t="str">
        <f t="shared" si="10"/>
        <v>MSA1BIO Index</v>
      </c>
      <c r="F238" s="5">
        <f t="shared" si="11"/>
        <v>1.6119503755591257E-2</v>
      </c>
    </row>
    <row r="239" spans="1:6" x14ac:dyDescent="0.35">
      <c r="A239" s="10">
        <v>45635</v>
      </c>
      <c r="B239" s="9">
        <v>-9.2192691029899434E-3</v>
      </c>
      <c r="D239" s="6" t="str">
        <f t="shared" si="9"/>
        <v>12/09/2024</v>
      </c>
      <c r="E239" s="6" t="str">
        <f t="shared" si="10"/>
        <v>MSA1BIO Index</v>
      </c>
      <c r="F239" s="5">
        <f t="shared" si="11"/>
        <v>-9.2192691029899434E-3</v>
      </c>
    </row>
    <row r="240" spans="1:6" x14ac:dyDescent="0.35">
      <c r="A240" s="8">
        <v>45636</v>
      </c>
      <c r="B240" s="7">
        <v>-8.4667616732334375E-3</v>
      </c>
      <c r="D240" s="6" t="str">
        <f t="shared" si="9"/>
        <v>12/10/2024</v>
      </c>
      <c r="E240" s="6" t="str">
        <f t="shared" si="10"/>
        <v>MSA1BIO Index</v>
      </c>
      <c r="F240" s="5">
        <f t="shared" si="11"/>
        <v>-8.4667616732334375E-3</v>
      </c>
    </row>
    <row r="241" spans="1:6" x14ac:dyDescent="0.35">
      <c r="A241" s="10">
        <v>45637</v>
      </c>
      <c r="B241" s="9">
        <v>-6.8481569157930475E-3</v>
      </c>
      <c r="D241" s="6" t="str">
        <f t="shared" si="9"/>
        <v>12/11/2024</v>
      </c>
      <c r="E241" s="6" t="str">
        <f t="shared" si="10"/>
        <v>MSA1BIO Index</v>
      </c>
      <c r="F241" s="5">
        <f t="shared" si="11"/>
        <v>-6.8481569157930475E-3</v>
      </c>
    </row>
    <row r="242" spans="1:6" x14ac:dyDescent="0.35">
      <c r="A242" s="8">
        <v>45638</v>
      </c>
      <c r="B242" s="7">
        <v>-3.3540478420022106E-2</v>
      </c>
      <c r="D242" s="6" t="str">
        <f t="shared" si="9"/>
        <v>12/12/2024</v>
      </c>
      <c r="E242" s="6" t="str">
        <f t="shared" si="10"/>
        <v>MSA1BIO Index</v>
      </c>
      <c r="F242" s="5">
        <f t="shared" si="11"/>
        <v>-3.3540478420022106E-2</v>
      </c>
    </row>
    <row r="243" spans="1:6" x14ac:dyDescent="0.35">
      <c r="A243" s="10">
        <v>45639</v>
      </c>
      <c r="B243" s="9">
        <v>-1.3771493262824862E-2</v>
      </c>
      <c r="D243" s="6" t="str">
        <f t="shared" si="9"/>
        <v>12/13/2024</v>
      </c>
      <c r="E243" s="6" t="str">
        <f t="shared" si="10"/>
        <v>MSA1BIO Index</v>
      </c>
      <c r="F243" s="5">
        <f t="shared" si="11"/>
        <v>-1.3771493262824862E-2</v>
      </c>
    </row>
    <row r="244" spans="1:6" x14ac:dyDescent="0.35">
      <c r="A244" s="8">
        <v>45642</v>
      </c>
      <c r="B244" s="7">
        <v>1.5671266550776414E-2</v>
      </c>
      <c r="D244" s="6" t="str">
        <f t="shared" si="9"/>
        <v>12/16/2024</v>
      </c>
      <c r="E244" s="6" t="str">
        <f t="shared" si="10"/>
        <v>MSA1BIO Index</v>
      </c>
      <c r="F244" s="5">
        <f t="shared" si="11"/>
        <v>1.5671266550776414E-2</v>
      </c>
    </row>
    <row r="245" spans="1:6" x14ac:dyDescent="0.35">
      <c r="A245" s="10">
        <v>45643</v>
      </c>
      <c r="B245" s="9">
        <v>-4.6609796851638779E-3</v>
      </c>
      <c r="D245" s="6" t="str">
        <f t="shared" si="9"/>
        <v>12/17/2024</v>
      </c>
      <c r="E245" s="6" t="str">
        <f t="shared" si="10"/>
        <v>MSA1BIO Index</v>
      </c>
      <c r="F245" s="5">
        <f t="shared" si="11"/>
        <v>-4.6609796851638779E-3</v>
      </c>
    </row>
    <row r="246" spans="1:6" x14ac:dyDescent="0.35">
      <c r="A246" s="8">
        <v>45644</v>
      </c>
      <c r="B246" s="7">
        <v>-4.7623254992048072E-2</v>
      </c>
      <c r="D246" s="6" t="str">
        <f t="shared" si="9"/>
        <v>12/18/2024</v>
      </c>
      <c r="E246" s="6" t="str">
        <f t="shared" si="10"/>
        <v>MSA1BIO Index</v>
      </c>
      <c r="F246" s="5">
        <f t="shared" si="11"/>
        <v>-4.7623254992048072E-2</v>
      </c>
    </row>
    <row r="247" spans="1:6" x14ac:dyDescent="0.35">
      <c r="A247" s="10">
        <v>45645</v>
      </c>
      <c r="B247" s="9">
        <v>3.8964653492901801E-3</v>
      </c>
      <c r="D247" s="6" t="str">
        <f t="shared" si="9"/>
        <v>12/19/2024</v>
      </c>
      <c r="E247" s="6" t="str">
        <f t="shared" si="10"/>
        <v>MSA1BIO Index</v>
      </c>
      <c r="F247" s="5">
        <f t="shared" si="11"/>
        <v>3.8964653492901801E-3</v>
      </c>
    </row>
    <row r="248" spans="1:6" x14ac:dyDescent="0.35">
      <c r="A248" s="8">
        <v>45646</v>
      </c>
      <c r="B248" s="7">
        <v>9.6109416874595871E-3</v>
      </c>
      <c r="D248" s="6" t="str">
        <f t="shared" si="9"/>
        <v>12/20/2024</v>
      </c>
      <c r="E248" s="6" t="str">
        <f t="shared" si="10"/>
        <v>MSA1BIO Index</v>
      </c>
      <c r="F248" s="5">
        <f t="shared" si="11"/>
        <v>9.6109416874595871E-3</v>
      </c>
    </row>
    <row r="249" spans="1:6" x14ac:dyDescent="0.35">
      <c r="A249" s="10">
        <v>45649</v>
      </c>
      <c r="B249" s="9">
        <v>4.8512585812358153E-3</v>
      </c>
      <c r="D249" s="6" t="str">
        <f t="shared" si="9"/>
        <v>12/23/2024</v>
      </c>
      <c r="E249" s="6" t="str">
        <f t="shared" si="10"/>
        <v>MSA1BIO Index</v>
      </c>
      <c r="F249" s="5">
        <f t="shared" si="11"/>
        <v>4.8512585812358153E-3</v>
      </c>
    </row>
    <row r="250" spans="1:6" x14ac:dyDescent="0.35">
      <c r="A250" s="8">
        <v>45650</v>
      </c>
      <c r="B250" s="7">
        <v>-2.7327382036801046E-3</v>
      </c>
      <c r="D250" s="6" t="str">
        <f t="shared" si="9"/>
        <v>12/24/2024</v>
      </c>
      <c r="E250" s="6" t="str">
        <f t="shared" si="10"/>
        <v>MSA1BIO Index</v>
      </c>
      <c r="F250" s="5">
        <f t="shared" si="11"/>
        <v>-2.7327382036801046E-3</v>
      </c>
    </row>
    <row r="251" spans="1:6" x14ac:dyDescent="0.35">
      <c r="A251" s="10">
        <v>45652</v>
      </c>
      <c r="B251" s="9">
        <v>1.2970405553525756E-2</v>
      </c>
      <c r="D251" s="6" t="str">
        <f t="shared" si="9"/>
        <v>12/26/2024</v>
      </c>
      <c r="E251" s="6" t="str">
        <f t="shared" si="10"/>
        <v>MSA1BIO Index</v>
      </c>
      <c r="F251" s="5">
        <f t="shared" si="11"/>
        <v>1.2970405553525756E-2</v>
      </c>
    </row>
    <row r="252" spans="1:6" x14ac:dyDescent="0.35">
      <c r="A252" s="8">
        <v>45653</v>
      </c>
      <c r="B252" s="7">
        <v>-1.4788097385031611E-2</v>
      </c>
      <c r="D252" s="6" t="str">
        <f t="shared" si="9"/>
        <v>12/27/2024</v>
      </c>
      <c r="E252" s="6" t="str">
        <f t="shared" si="10"/>
        <v>MSA1BIO Index</v>
      </c>
      <c r="F252" s="5">
        <f t="shared" si="11"/>
        <v>-1.4788097385031611E-2</v>
      </c>
    </row>
    <row r="253" spans="1:6" x14ac:dyDescent="0.35">
      <c r="A253" s="10">
        <v>45656</v>
      </c>
      <c r="B253" s="9">
        <v>-1.6932088596009583E-2</v>
      </c>
      <c r="D253" s="6" t="str">
        <f t="shared" si="9"/>
        <v>12/30/2024</v>
      </c>
      <c r="E253" s="6" t="str">
        <f t="shared" si="10"/>
        <v>MSA1BIO Index</v>
      </c>
      <c r="F253" s="5">
        <f t="shared" si="11"/>
        <v>-1.6932088596009583E-2</v>
      </c>
    </row>
    <row r="254" spans="1:6" x14ac:dyDescent="0.35">
      <c r="A254" s="8">
        <v>45657</v>
      </c>
      <c r="B254" s="7">
        <v>5.0274648542967841E-3</v>
      </c>
      <c r="D254" s="6" t="str">
        <f t="shared" si="9"/>
        <v>12/31/2024</v>
      </c>
      <c r="E254" s="6" t="str">
        <f t="shared" si="10"/>
        <v>MSA1BIO Index</v>
      </c>
      <c r="F254" s="5">
        <f t="shared" si="11"/>
        <v>5.0274648542967841E-3</v>
      </c>
    </row>
    <row r="255" spans="1:6" x14ac:dyDescent="0.35">
      <c r="A255" s="10">
        <v>45659</v>
      </c>
      <c r="B255" s="9">
        <v>1.5655396016674265E-2</v>
      </c>
      <c r="D255" s="6" t="str">
        <f t="shared" si="9"/>
        <v>01/02/2025</v>
      </c>
      <c r="E255" s="6" t="str">
        <f t="shared" si="10"/>
        <v>MSA1BIO Index</v>
      </c>
      <c r="F255" s="5">
        <f t="shared" si="11"/>
        <v>1.5655396016674265E-2</v>
      </c>
    </row>
    <row r="256" spans="1:6" x14ac:dyDescent="0.35">
      <c r="A256" s="8">
        <v>45660</v>
      </c>
      <c r="B256" s="7">
        <v>1.3589930682232805E-2</v>
      </c>
      <c r="D256" s="6" t="str">
        <f t="shared" si="9"/>
        <v>01/03/2025</v>
      </c>
      <c r="E256" s="6" t="str">
        <f t="shared" si="10"/>
        <v>MSA1BIO Index</v>
      </c>
      <c r="F256" s="5">
        <f t="shared" si="11"/>
        <v>1.3589930682232805E-2</v>
      </c>
    </row>
    <row r="257" spans="1:6" x14ac:dyDescent="0.35">
      <c r="A257" s="10">
        <v>45663</v>
      </c>
      <c r="B257" s="9">
        <v>-1.0078286691262464E-2</v>
      </c>
      <c r="D257" s="6" t="str">
        <f t="shared" si="9"/>
        <v>01/06/2025</v>
      </c>
      <c r="E257" s="6" t="str">
        <f t="shared" si="10"/>
        <v>MSA1BIO Index</v>
      </c>
      <c r="F257" s="5">
        <f t="shared" si="11"/>
        <v>-1.0078286691262464E-2</v>
      </c>
    </row>
    <row r="258" spans="1:6" x14ac:dyDescent="0.35">
      <c r="A258" s="8">
        <v>45664</v>
      </c>
      <c r="B258" s="7">
        <v>3.999636396691192E-3</v>
      </c>
      <c r="D258" s="6" t="str">
        <f t="shared" si="9"/>
        <v>01/07/2025</v>
      </c>
      <c r="E258" s="6" t="str">
        <f t="shared" si="10"/>
        <v>MSA1BIO Index</v>
      </c>
      <c r="F258" s="5">
        <f t="shared" si="11"/>
        <v>3.999636396691192E-3</v>
      </c>
    </row>
    <row r="259" spans="1:6" x14ac:dyDescent="0.35">
      <c r="A259" s="10">
        <v>45665</v>
      </c>
      <c r="B259" s="9">
        <v>-8.3295608872793227E-3</v>
      </c>
      <c r="D259" s="6" t="str">
        <f t="shared" ref="D259:D280" si="12">IF(A259 =  "", "",  TEXT(A259, "mm/dd/yyyy"))</f>
        <v>01/08/2025</v>
      </c>
      <c r="E259" s="6" t="str">
        <f t="shared" ref="E259:E280" si="13">IF(A259="", "", EntityLocal)</f>
        <v>MSA1BIO Index</v>
      </c>
      <c r="F259" s="5">
        <f t="shared" ref="F259:F280" si="14">IF(B259="","", B259)</f>
        <v>-8.3295608872793227E-3</v>
      </c>
    </row>
    <row r="260" spans="1:6" x14ac:dyDescent="0.35">
      <c r="A260" s="8">
        <v>45667</v>
      </c>
      <c r="B260" s="7">
        <v>-3.0402629416598128E-2</v>
      </c>
      <c r="D260" s="6" t="str">
        <f t="shared" si="12"/>
        <v>01/10/2025</v>
      </c>
      <c r="E260" s="6" t="str">
        <f t="shared" si="13"/>
        <v>MSA1BIO Index</v>
      </c>
      <c r="F260" s="5">
        <f t="shared" si="14"/>
        <v>-3.0402629416598128E-2</v>
      </c>
    </row>
    <row r="261" spans="1:6" x14ac:dyDescent="0.35">
      <c r="A261" s="10">
        <v>45670</v>
      </c>
      <c r="B261" s="9">
        <v>-1.0451977401130009E-2</v>
      </c>
      <c r="D261" s="6" t="str">
        <f t="shared" si="12"/>
        <v>01/13/2025</v>
      </c>
      <c r="E261" s="6" t="str">
        <f t="shared" si="13"/>
        <v>MSA1BIO Index</v>
      </c>
      <c r="F261" s="5">
        <f t="shared" si="14"/>
        <v>-1.0451977401130009E-2</v>
      </c>
    </row>
    <row r="262" spans="1:6" x14ac:dyDescent="0.35">
      <c r="A262" s="8">
        <v>45671</v>
      </c>
      <c r="B262" s="7">
        <v>-2.064896755162246E-2</v>
      </c>
      <c r="D262" s="6" t="str">
        <f t="shared" si="12"/>
        <v>01/14/2025</v>
      </c>
      <c r="E262" s="6" t="str">
        <f t="shared" si="13"/>
        <v>MSA1BIO Index</v>
      </c>
      <c r="F262" s="5">
        <f t="shared" si="14"/>
        <v>-2.064896755162246E-2</v>
      </c>
    </row>
    <row r="263" spans="1:6" x14ac:dyDescent="0.35">
      <c r="A263" s="10">
        <v>45672</v>
      </c>
      <c r="B263" s="9">
        <v>2.7278721795143786E-2</v>
      </c>
      <c r="D263" s="6" t="str">
        <f t="shared" si="12"/>
        <v>01/15/2025</v>
      </c>
      <c r="E263" s="6" t="str">
        <f t="shared" si="13"/>
        <v>MSA1BIO Index</v>
      </c>
      <c r="F263" s="5">
        <f t="shared" si="14"/>
        <v>2.7278721795143786E-2</v>
      </c>
    </row>
    <row r="264" spans="1:6" x14ac:dyDescent="0.35">
      <c r="A264" s="8">
        <v>45673</v>
      </c>
      <c r="B264" s="7">
        <v>-8.7968217934165979E-3</v>
      </c>
      <c r="D264" s="6" t="str">
        <f t="shared" si="12"/>
        <v>01/16/2025</v>
      </c>
      <c r="E264" s="6" t="str">
        <f t="shared" si="13"/>
        <v>MSA1BIO Index</v>
      </c>
      <c r="F264" s="5">
        <f t="shared" si="14"/>
        <v>-8.7968217934165979E-3</v>
      </c>
    </row>
    <row r="265" spans="1:6" x14ac:dyDescent="0.35">
      <c r="A265" s="10">
        <v>45674</v>
      </c>
      <c r="B265" s="9">
        <v>7.6343162515505692E-4</v>
      </c>
      <c r="D265" s="6" t="str">
        <f t="shared" si="12"/>
        <v>01/17/2025</v>
      </c>
      <c r="E265" s="6" t="str">
        <f t="shared" si="13"/>
        <v>MSA1BIO Index</v>
      </c>
      <c r="F265" s="5">
        <f t="shared" si="14"/>
        <v>7.6343162515505692E-4</v>
      </c>
    </row>
    <row r="266" spans="1:6" x14ac:dyDescent="0.35">
      <c r="A266" s="8">
        <v>45678</v>
      </c>
      <c r="B266" s="7">
        <v>2.4792600362353437E-2</v>
      </c>
      <c r="D266" s="6" t="str">
        <f t="shared" si="12"/>
        <v>01/21/2025</v>
      </c>
      <c r="E266" s="6" t="str">
        <f t="shared" si="13"/>
        <v>MSA1BIO Index</v>
      </c>
      <c r="F266" s="5">
        <f t="shared" si="14"/>
        <v>2.4792600362353437E-2</v>
      </c>
    </row>
    <row r="267" spans="1:6" x14ac:dyDescent="0.35">
      <c r="A267" s="10">
        <v>45679</v>
      </c>
      <c r="B267" s="9">
        <v>5.7690518284172496E-3</v>
      </c>
      <c r="D267" s="6" t="str">
        <f t="shared" si="12"/>
        <v>01/22/2025</v>
      </c>
      <c r="E267" s="6" t="str">
        <f t="shared" si="13"/>
        <v>MSA1BIO Index</v>
      </c>
      <c r="F267" s="5">
        <f t="shared" si="14"/>
        <v>5.7690518284172496E-3</v>
      </c>
    </row>
    <row r="268" spans="1:6" x14ac:dyDescent="0.35">
      <c r="A268" s="8">
        <v>45680</v>
      </c>
      <c r="B268" s="7">
        <v>1.3322231473771854E-2</v>
      </c>
      <c r="D268" s="6" t="str">
        <f t="shared" si="12"/>
        <v>01/23/2025</v>
      </c>
      <c r="E268" s="6" t="str">
        <f t="shared" si="13"/>
        <v>MSA1BIO Index</v>
      </c>
      <c r="F268" s="5">
        <f t="shared" si="14"/>
        <v>1.3322231473771854E-2</v>
      </c>
    </row>
    <row r="269" spans="1:6" x14ac:dyDescent="0.35">
      <c r="A269" s="10">
        <v>45681</v>
      </c>
      <c r="B269" s="9">
        <v>-3.6519674974893287E-3</v>
      </c>
      <c r="D269" s="6" t="str">
        <f t="shared" si="12"/>
        <v>01/24/2025</v>
      </c>
      <c r="E269" s="6" t="str">
        <f t="shared" si="13"/>
        <v>MSA1BIO Index</v>
      </c>
      <c r="F269" s="5">
        <f t="shared" si="14"/>
        <v>-3.6519674974893287E-3</v>
      </c>
    </row>
    <row r="270" spans="1:6" x14ac:dyDescent="0.35">
      <c r="A270" s="8">
        <v>45684</v>
      </c>
      <c r="B270" s="7">
        <v>2.5657472738934706E-3</v>
      </c>
      <c r="D270" s="6" t="str">
        <f t="shared" si="12"/>
        <v>01/27/2025</v>
      </c>
      <c r="E270" s="6" t="str">
        <f t="shared" si="13"/>
        <v>MSA1BIO Index</v>
      </c>
      <c r="F270" s="5">
        <f t="shared" si="14"/>
        <v>2.5657472738934706E-3</v>
      </c>
    </row>
    <row r="271" spans="1:6" x14ac:dyDescent="0.35">
      <c r="A271" s="10">
        <v>45685</v>
      </c>
      <c r="B271" s="9">
        <v>9.1399323645016141E-4</v>
      </c>
      <c r="D271" s="6" t="str">
        <f t="shared" si="12"/>
        <v>01/28/2025</v>
      </c>
      <c r="E271" s="6" t="str">
        <f t="shared" si="13"/>
        <v>MSA1BIO Index</v>
      </c>
      <c r="F271" s="5">
        <f t="shared" si="14"/>
        <v>9.1399323645016141E-4</v>
      </c>
    </row>
    <row r="272" spans="1:6" x14ac:dyDescent="0.35">
      <c r="A272" s="8">
        <v>45686</v>
      </c>
      <c r="B272" s="7">
        <v>-1.82631723130317E-3</v>
      </c>
      <c r="D272" s="6" t="str">
        <f t="shared" si="12"/>
        <v>01/29/2025</v>
      </c>
      <c r="E272" s="6" t="str">
        <f t="shared" si="13"/>
        <v>MSA1BIO Index</v>
      </c>
      <c r="F272" s="5">
        <f t="shared" si="14"/>
        <v>-1.82631723130317E-3</v>
      </c>
    </row>
    <row r="273" spans="1:6" x14ac:dyDescent="0.35">
      <c r="A273" s="10">
        <v>45687</v>
      </c>
      <c r="B273" s="9">
        <v>7.5016009514225403E-3</v>
      </c>
      <c r="D273" s="6" t="str">
        <f t="shared" si="12"/>
        <v>01/30/2025</v>
      </c>
      <c r="E273" s="6" t="str">
        <f t="shared" si="13"/>
        <v>MSA1BIO Index</v>
      </c>
      <c r="F273" s="5">
        <f t="shared" si="14"/>
        <v>7.5016009514225403E-3</v>
      </c>
    </row>
    <row r="274" spans="1:6" x14ac:dyDescent="0.35">
      <c r="A274" s="8">
        <v>45688</v>
      </c>
      <c r="B274" s="7">
        <v>-8.8985744120584284E-3</v>
      </c>
      <c r="D274" s="6" t="str">
        <f t="shared" si="12"/>
        <v>01/31/2025</v>
      </c>
      <c r="E274" s="6" t="str">
        <f t="shared" si="13"/>
        <v>MSA1BIO Index</v>
      </c>
      <c r="F274" s="5">
        <f t="shared" si="14"/>
        <v>-8.8985744120584284E-3</v>
      </c>
    </row>
    <row r="275" spans="1:6" x14ac:dyDescent="0.35">
      <c r="A275" s="10">
        <v>45691</v>
      </c>
      <c r="B275" s="9">
        <v>-1.5483279890059567E-2</v>
      </c>
      <c r="D275" s="6" t="str">
        <f t="shared" si="12"/>
        <v>02/03/2025</v>
      </c>
      <c r="E275" s="6" t="str">
        <f t="shared" si="13"/>
        <v>MSA1BIO Index</v>
      </c>
      <c r="F275" s="5">
        <f t="shared" si="14"/>
        <v>-1.5483279890059567E-2</v>
      </c>
    </row>
    <row r="276" spans="1:6" x14ac:dyDescent="0.35">
      <c r="A276" s="8">
        <v>45692</v>
      </c>
      <c r="B276" s="7">
        <v>1.9076865810534235E-2</v>
      </c>
      <c r="D276" s="6" t="str">
        <f t="shared" si="12"/>
        <v>02/04/2025</v>
      </c>
      <c r="E276" s="6" t="str">
        <f t="shared" si="13"/>
        <v>MSA1BIO Index</v>
      </c>
      <c r="F276" s="5">
        <f t="shared" si="14"/>
        <v>1.9076865810534235E-2</v>
      </c>
    </row>
    <row r="277" spans="1:6" x14ac:dyDescent="0.35">
      <c r="A277" s="10">
        <v>45693</v>
      </c>
      <c r="B277" s="9">
        <v>2.7394758469546129E-2</v>
      </c>
      <c r="D277" s="6" t="str">
        <f t="shared" si="12"/>
        <v>02/05/2025</v>
      </c>
      <c r="E277" s="6" t="str">
        <f t="shared" si="13"/>
        <v>MSA1BIO Index</v>
      </c>
      <c r="F277" s="5">
        <f t="shared" si="14"/>
        <v>2.7394758469546129E-2</v>
      </c>
    </row>
    <row r="278" spans="1:6" x14ac:dyDescent="0.35">
      <c r="A278" s="8">
        <v>45694</v>
      </c>
      <c r="B278" s="7">
        <v>-1.0665718602790902E-2</v>
      </c>
      <c r="D278" s="6" t="str">
        <f t="shared" si="12"/>
        <v>02/06/2025</v>
      </c>
      <c r="E278" s="6" t="str">
        <f t="shared" si="13"/>
        <v>MSA1BIO Index</v>
      </c>
      <c r="F278" s="5">
        <f t="shared" si="14"/>
        <v>-1.0665718602790902E-2</v>
      </c>
    </row>
    <row r="279" spans="1:6" x14ac:dyDescent="0.35">
      <c r="A279" s="10">
        <v>45695</v>
      </c>
      <c r="B279" s="9">
        <v>-2.3178510466265304E-2</v>
      </c>
      <c r="D279" s="6" t="str">
        <f t="shared" si="12"/>
        <v>02/07/2025</v>
      </c>
      <c r="E279" s="6" t="str">
        <f t="shared" si="13"/>
        <v>MSA1BIO Index</v>
      </c>
      <c r="F279" s="5">
        <f t="shared" si="14"/>
        <v>-2.3178510466265304E-2</v>
      </c>
    </row>
    <row r="280" spans="1:6" x14ac:dyDescent="0.35">
      <c r="A280" s="8"/>
      <c r="B280" s="7"/>
      <c r="D280" s="6" t="str">
        <f t="shared" si="12"/>
        <v/>
      </c>
      <c r="E280" s="6" t="str">
        <f t="shared" si="13"/>
        <v/>
      </c>
      <c r="F280" s="5" t="str">
        <f t="shared" si="14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78F22-01B2-4DFE-A52A-A92FB94F1BC4}">
  <sheetPr codeName="Sheet11"/>
  <dimension ref="A1:F300"/>
  <sheetViews>
    <sheetView showGridLines="0" zoomScale="91" zoomScaleNormal="91" workbookViewId="0">
      <pane xSplit="2" ySplit="2" topLeftCell="C237" activePane="bottomRight" state="frozen"/>
      <selection pane="topRight" activeCell="C1" sqref="C1"/>
      <selection pane="bottomLeft" activeCell="A3" sqref="A3"/>
      <selection pane="bottomRight" activeCell="A284" sqref="A284"/>
    </sheetView>
  </sheetViews>
  <sheetFormatPr defaultRowHeight="14.5" x14ac:dyDescent="0.35"/>
  <cols>
    <col min="1" max="1" width="17.81640625" style="4" customWidth="1"/>
    <col min="2" max="2" width="18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_xll.BQL("MSA1BIOH Index", "dropna(day_to_day_tot_return_gross_dvds(dates=range(2024-01-01, 2025-12-31)))","cols=2;rows=284")</f>
        <v/>
      </c>
      <c r="B1" s="18" t="s">
        <v>8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45292</v>
      </c>
      <c r="B3" s="11">
        <v>0</v>
      </c>
      <c r="D3" s="6" t="str">
        <f t="shared" ref="D3:D66" si="0">IF(A3 =  "", "",  TEXT(A3, "mm/dd/yyyy"))</f>
        <v>01/01/2024</v>
      </c>
      <c r="E3" s="6" t="str">
        <f t="shared" ref="E3:E66" si="1">IF(A3="", "", EntityLocal)</f>
        <v>MSA1BIOH Index</v>
      </c>
      <c r="F3" s="5">
        <f t="shared" ref="F3:F66" si="2">IF(B3="","", B3)</f>
        <v>0</v>
      </c>
    </row>
    <row r="4" spans="1:6" x14ac:dyDescent="0.35">
      <c r="A4" s="8">
        <v>45293</v>
      </c>
      <c r="B4" s="7">
        <v>1.226342217072225E-2</v>
      </c>
      <c r="D4" s="6" t="str">
        <f t="shared" si="0"/>
        <v>01/02/2024</v>
      </c>
      <c r="E4" s="6" t="str">
        <f t="shared" si="1"/>
        <v>MSA1BIOH Index</v>
      </c>
      <c r="F4" s="5">
        <f t="shared" si="2"/>
        <v>1.226342217072225E-2</v>
      </c>
    </row>
    <row r="5" spans="1:6" x14ac:dyDescent="0.35">
      <c r="A5" s="10">
        <v>45294</v>
      </c>
      <c r="B5" s="9">
        <v>-2.670991128493749E-2</v>
      </c>
      <c r="D5" s="6" t="str">
        <f t="shared" si="0"/>
        <v>01/03/2024</v>
      </c>
      <c r="E5" s="6" t="str">
        <f t="shared" si="1"/>
        <v>MSA1BIOH Index</v>
      </c>
      <c r="F5" s="5">
        <f t="shared" si="2"/>
        <v>-2.670991128493749E-2</v>
      </c>
    </row>
    <row r="6" spans="1:6" x14ac:dyDescent="0.35">
      <c r="A6" s="8">
        <v>45295</v>
      </c>
      <c r="B6" s="7">
        <v>1.3721454474174319E-2</v>
      </c>
      <c r="D6" s="6" t="str">
        <f t="shared" si="0"/>
        <v>01/04/2024</v>
      </c>
      <c r="E6" s="6" t="str">
        <f t="shared" si="1"/>
        <v>MSA1BIOH Index</v>
      </c>
      <c r="F6" s="5">
        <f t="shared" si="2"/>
        <v>1.3721454474174319E-2</v>
      </c>
    </row>
    <row r="7" spans="1:6" x14ac:dyDescent="0.35">
      <c r="A7" s="10">
        <v>45296</v>
      </c>
      <c r="B7" s="9">
        <v>-1.3632408392149383E-2</v>
      </c>
      <c r="D7" s="6" t="str">
        <f t="shared" si="0"/>
        <v>01/05/2024</v>
      </c>
      <c r="E7" s="6" t="str">
        <f t="shared" si="1"/>
        <v>MSA1BIOH Index</v>
      </c>
      <c r="F7" s="5">
        <f t="shared" si="2"/>
        <v>-1.3632408392149383E-2</v>
      </c>
    </row>
    <row r="8" spans="1:6" x14ac:dyDescent="0.35">
      <c r="A8" s="8">
        <v>45299</v>
      </c>
      <c r="B8" s="7">
        <v>5.4205057831797701E-2</v>
      </c>
      <c r="D8" s="6" t="str">
        <f t="shared" si="0"/>
        <v>01/08/2024</v>
      </c>
      <c r="E8" s="6" t="str">
        <f t="shared" si="1"/>
        <v>MSA1BIOH Index</v>
      </c>
      <c r="F8" s="5">
        <f t="shared" si="2"/>
        <v>5.4205057831797701E-2</v>
      </c>
    </row>
    <row r="9" spans="1:6" x14ac:dyDescent="0.35">
      <c r="A9" s="10">
        <v>45300</v>
      </c>
      <c r="B9" s="9">
        <v>4.8349604834960116E-3</v>
      </c>
      <c r="D9" s="6" t="str">
        <f t="shared" si="0"/>
        <v>01/09/2024</v>
      </c>
      <c r="E9" s="6" t="str">
        <f t="shared" si="1"/>
        <v>MSA1BIOH Index</v>
      </c>
      <c r="F9" s="5">
        <f t="shared" si="2"/>
        <v>4.8349604834960116E-3</v>
      </c>
    </row>
    <row r="10" spans="1:6" x14ac:dyDescent="0.35">
      <c r="A10" s="8">
        <v>45301</v>
      </c>
      <c r="B10" s="7">
        <v>-9.7159248635143632E-3</v>
      </c>
      <c r="D10" s="6" t="str">
        <f t="shared" si="0"/>
        <v>01/10/2024</v>
      </c>
      <c r="E10" s="6" t="str">
        <f t="shared" si="1"/>
        <v>MSA1BIOH Index</v>
      </c>
      <c r="F10" s="5">
        <f t="shared" si="2"/>
        <v>-9.7159248635143632E-3</v>
      </c>
    </row>
    <row r="11" spans="1:6" x14ac:dyDescent="0.35">
      <c r="A11" s="10">
        <v>45302</v>
      </c>
      <c r="B11" s="9">
        <v>-2.1491310035507357E-2</v>
      </c>
      <c r="D11" s="6" t="str">
        <f t="shared" si="0"/>
        <v>01/11/2024</v>
      </c>
      <c r="E11" s="6" t="str">
        <f t="shared" si="1"/>
        <v>MSA1BIOH Index</v>
      </c>
      <c r="F11" s="5">
        <f t="shared" si="2"/>
        <v>-2.1491310035507357E-2</v>
      </c>
    </row>
    <row r="12" spans="1:6" x14ac:dyDescent="0.35">
      <c r="A12" s="8">
        <v>45303</v>
      </c>
      <c r="B12" s="7">
        <v>-7.6394194041251237E-4</v>
      </c>
      <c r="D12" s="6" t="str">
        <f t="shared" si="0"/>
        <v>01/12/2024</v>
      </c>
      <c r="E12" s="6" t="str">
        <f t="shared" si="1"/>
        <v>MSA1BIOH Index</v>
      </c>
      <c r="F12" s="5">
        <f t="shared" si="2"/>
        <v>-7.6394194041251237E-4</v>
      </c>
    </row>
    <row r="13" spans="1:6" x14ac:dyDescent="0.35">
      <c r="A13" s="10">
        <v>45306</v>
      </c>
      <c r="B13" s="9">
        <v>0</v>
      </c>
      <c r="D13" s="6" t="str">
        <f t="shared" si="0"/>
        <v>01/15/2024</v>
      </c>
      <c r="E13" s="6" t="str">
        <f t="shared" si="1"/>
        <v>MSA1BIOH Index</v>
      </c>
      <c r="F13" s="5">
        <f t="shared" si="2"/>
        <v>0</v>
      </c>
    </row>
    <row r="14" spans="1:6" x14ac:dyDescent="0.35">
      <c r="A14" s="8">
        <v>45307</v>
      </c>
      <c r="B14" s="7">
        <v>-1.8348623853211024E-2</v>
      </c>
      <c r="D14" s="6" t="str">
        <f t="shared" si="0"/>
        <v>01/16/2024</v>
      </c>
      <c r="E14" s="6" t="str">
        <f t="shared" si="1"/>
        <v>MSA1BIOH Index</v>
      </c>
      <c r="F14" s="5">
        <f t="shared" si="2"/>
        <v>-1.8348623853211024E-2</v>
      </c>
    </row>
    <row r="15" spans="1:6" x14ac:dyDescent="0.35">
      <c r="A15" s="10">
        <v>45308</v>
      </c>
      <c r="B15" s="9">
        <v>-1.031931464174457E-2</v>
      </c>
      <c r="D15" s="6" t="str">
        <f t="shared" si="0"/>
        <v>01/17/2024</v>
      </c>
      <c r="E15" s="6" t="str">
        <f t="shared" si="1"/>
        <v>MSA1BIOH Index</v>
      </c>
      <c r="F15" s="5">
        <f t="shared" si="2"/>
        <v>-1.031931464174457E-2</v>
      </c>
    </row>
    <row r="16" spans="1:6" x14ac:dyDescent="0.35">
      <c r="A16" s="8">
        <v>45309</v>
      </c>
      <c r="B16" s="7">
        <v>-1.800118040527246E-2</v>
      </c>
      <c r="D16" s="6" t="str">
        <f t="shared" si="0"/>
        <v>01/18/2024</v>
      </c>
      <c r="E16" s="6" t="str">
        <f t="shared" si="1"/>
        <v>MSA1BIOH Index</v>
      </c>
      <c r="F16" s="5">
        <f t="shared" si="2"/>
        <v>-1.800118040527246E-2</v>
      </c>
    </row>
    <row r="17" spans="1:6" x14ac:dyDescent="0.35">
      <c r="A17" s="10">
        <v>45310</v>
      </c>
      <c r="B17" s="9">
        <v>-4.0068115796846682E-4</v>
      </c>
      <c r="D17" s="6" t="str">
        <f t="shared" si="0"/>
        <v>01/19/2024</v>
      </c>
      <c r="E17" s="6" t="str">
        <f t="shared" si="1"/>
        <v>MSA1BIOH Index</v>
      </c>
      <c r="F17" s="5">
        <f t="shared" si="2"/>
        <v>-4.0068115796846682E-4</v>
      </c>
    </row>
    <row r="18" spans="1:6" x14ac:dyDescent="0.35">
      <c r="A18" s="8">
        <v>45313</v>
      </c>
      <c r="B18" s="7">
        <v>2.4751979156228066E-2</v>
      </c>
      <c r="D18" s="6" t="str">
        <f t="shared" si="0"/>
        <v>01/22/2024</v>
      </c>
      <c r="E18" s="6" t="str">
        <f t="shared" si="1"/>
        <v>MSA1BIOH Index</v>
      </c>
      <c r="F18" s="5">
        <f t="shared" si="2"/>
        <v>2.4751979156228066E-2</v>
      </c>
    </row>
    <row r="19" spans="1:6" x14ac:dyDescent="0.35">
      <c r="A19" s="10">
        <v>45314</v>
      </c>
      <c r="B19" s="9">
        <v>6.943086250733364E-3</v>
      </c>
      <c r="D19" s="6" t="str">
        <f t="shared" si="0"/>
        <v>01/23/2024</v>
      </c>
      <c r="E19" s="6" t="str">
        <f t="shared" si="1"/>
        <v>MSA1BIOH Index</v>
      </c>
      <c r="F19" s="5">
        <f t="shared" si="2"/>
        <v>6.943086250733364E-3</v>
      </c>
    </row>
    <row r="20" spans="1:6" x14ac:dyDescent="0.35">
      <c r="A20" s="8">
        <v>45315</v>
      </c>
      <c r="B20" s="7">
        <v>-1.1168301447023462E-2</v>
      </c>
      <c r="D20" s="6" t="str">
        <f t="shared" si="0"/>
        <v>01/24/2024</v>
      </c>
      <c r="E20" s="6" t="str">
        <f t="shared" si="1"/>
        <v>MSA1BIOH Index</v>
      </c>
      <c r="F20" s="5">
        <f t="shared" si="2"/>
        <v>-1.1168301447023462E-2</v>
      </c>
    </row>
    <row r="21" spans="1:6" x14ac:dyDescent="0.35">
      <c r="A21" s="10">
        <v>45316</v>
      </c>
      <c r="B21" s="9">
        <v>1.5124729915537285E-2</v>
      </c>
      <c r="D21" s="6" t="str">
        <f t="shared" si="0"/>
        <v>01/25/2024</v>
      </c>
      <c r="E21" s="6" t="str">
        <f t="shared" si="1"/>
        <v>MSA1BIOH Index</v>
      </c>
      <c r="F21" s="5">
        <f t="shared" si="2"/>
        <v>1.5124729915537285E-2</v>
      </c>
    </row>
    <row r="22" spans="1:6" x14ac:dyDescent="0.35">
      <c r="A22" s="8">
        <v>45317</v>
      </c>
      <c r="B22" s="7">
        <v>-5.0309597523219432E-3</v>
      </c>
      <c r="D22" s="6" t="str">
        <f t="shared" si="0"/>
        <v>01/26/2024</v>
      </c>
      <c r="E22" s="6" t="str">
        <f t="shared" si="1"/>
        <v>MSA1BIOH Index</v>
      </c>
      <c r="F22" s="5">
        <f t="shared" si="2"/>
        <v>-5.0309597523219432E-3</v>
      </c>
    </row>
    <row r="23" spans="1:6" x14ac:dyDescent="0.35">
      <c r="A23" s="10">
        <v>45320</v>
      </c>
      <c r="B23" s="9">
        <v>4.0840140023337239E-2</v>
      </c>
      <c r="D23" s="6" t="str">
        <f t="shared" si="0"/>
        <v>01/29/2024</v>
      </c>
      <c r="E23" s="6" t="str">
        <f t="shared" si="1"/>
        <v>MSA1BIOH Index</v>
      </c>
      <c r="F23" s="5">
        <f t="shared" si="2"/>
        <v>4.0840140023337239E-2</v>
      </c>
    </row>
    <row r="24" spans="1:6" x14ac:dyDescent="0.35">
      <c r="A24" s="8">
        <v>45321</v>
      </c>
      <c r="B24" s="7">
        <v>-2.5130792227204896E-2</v>
      </c>
      <c r="D24" s="6" t="str">
        <f t="shared" si="0"/>
        <v>01/30/2024</v>
      </c>
      <c r="E24" s="6" t="str">
        <f t="shared" si="1"/>
        <v>MSA1BIOH Index</v>
      </c>
      <c r="F24" s="5">
        <f t="shared" si="2"/>
        <v>-2.5130792227204896E-2</v>
      </c>
    </row>
    <row r="25" spans="1:6" x14ac:dyDescent="0.35">
      <c r="A25" s="10">
        <v>45322</v>
      </c>
      <c r="B25" s="9">
        <v>-1.006229036895062E-2</v>
      </c>
      <c r="D25" s="6" t="str">
        <f t="shared" si="0"/>
        <v>01/31/2024</v>
      </c>
      <c r="E25" s="6" t="str">
        <f t="shared" si="1"/>
        <v>MSA1BIOH Index</v>
      </c>
      <c r="F25" s="5">
        <f t="shared" si="2"/>
        <v>-1.006229036895062E-2</v>
      </c>
    </row>
    <row r="26" spans="1:6" x14ac:dyDescent="0.35">
      <c r="A26" s="8">
        <v>45323</v>
      </c>
      <c r="B26" s="7">
        <v>2.3039690222652561E-2</v>
      </c>
      <c r="D26" s="6" t="str">
        <f t="shared" si="0"/>
        <v>02/01/2024</v>
      </c>
      <c r="E26" s="6" t="str">
        <f t="shared" si="1"/>
        <v>MSA1BIOH Index</v>
      </c>
      <c r="F26" s="5">
        <f t="shared" si="2"/>
        <v>2.3039690222652561E-2</v>
      </c>
    </row>
    <row r="27" spans="1:6" x14ac:dyDescent="0.35">
      <c r="A27" s="10">
        <v>45324</v>
      </c>
      <c r="B27" s="9">
        <v>-1.523467070401224E-2</v>
      </c>
      <c r="D27" s="6" t="str">
        <f t="shared" si="0"/>
        <v>02/02/2024</v>
      </c>
      <c r="E27" s="6" t="str">
        <f t="shared" si="1"/>
        <v>MSA1BIOH Index</v>
      </c>
      <c r="F27" s="5">
        <f t="shared" si="2"/>
        <v>-1.523467070401224E-2</v>
      </c>
    </row>
    <row r="28" spans="1:6" x14ac:dyDescent="0.35">
      <c r="A28" s="8">
        <v>45327</v>
      </c>
      <c r="B28" s="7">
        <v>7.0145094647833589E-3</v>
      </c>
      <c r="D28" s="6" t="str">
        <f t="shared" si="0"/>
        <v>02/05/2024</v>
      </c>
      <c r="E28" s="6" t="str">
        <f t="shared" si="1"/>
        <v>MSA1BIOH Index</v>
      </c>
      <c r="F28" s="5">
        <f t="shared" si="2"/>
        <v>7.0145094647833589E-3</v>
      </c>
    </row>
    <row r="29" spans="1:6" x14ac:dyDescent="0.35">
      <c r="A29" s="10">
        <v>45328</v>
      </c>
      <c r="B29" s="9">
        <v>2.2709923664122229E-2</v>
      </c>
      <c r="D29" s="6" t="str">
        <f t="shared" si="0"/>
        <v>02/06/2024</v>
      </c>
      <c r="E29" s="6" t="str">
        <f t="shared" si="1"/>
        <v>MSA1BIOH Index</v>
      </c>
      <c r="F29" s="5">
        <f t="shared" si="2"/>
        <v>2.2709923664122229E-2</v>
      </c>
    </row>
    <row r="30" spans="1:6" x14ac:dyDescent="0.35">
      <c r="A30" s="8">
        <v>45329</v>
      </c>
      <c r="B30" s="7">
        <v>-1.6794178018287097E-2</v>
      </c>
      <c r="D30" s="6" t="str">
        <f t="shared" si="0"/>
        <v>02/07/2024</v>
      </c>
      <c r="E30" s="6" t="str">
        <f t="shared" si="1"/>
        <v>MSA1BIOH Index</v>
      </c>
      <c r="F30" s="5">
        <f t="shared" si="2"/>
        <v>-1.6794178018287097E-2</v>
      </c>
    </row>
    <row r="31" spans="1:6" x14ac:dyDescent="0.35">
      <c r="A31" s="10">
        <v>45330</v>
      </c>
      <c r="B31" s="9">
        <v>1.4139305371038236E-2</v>
      </c>
      <c r="D31" s="6" t="str">
        <f t="shared" si="0"/>
        <v>02/08/2024</v>
      </c>
      <c r="E31" s="6" t="str">
        <f t="shared" si="1"/>
        <v>MSA1BIOH Index</v>
      </c>
      <c r="F31" s="5">
        <f t="shared" si="2"/>
        <v>1.4139305371038236E-2</v>
      </c>
    </row>
    <row r="32" spans="1:6" x14ac:dyDescent="0.35">
      <c r="A32" s="8">
        <v>45331</v>
      </c>
      <c r="B32" s="7">
        <v>2.4702910077664456E-2</v>
      </c>
      <c r="D32" s="6" t="str">
        <f t="shared" si="0"/>
        <v>02/09/2024</v>
      </c>
      <c r="E32" s="6" t="str">
        <f t="shared" si="1"/>
        <v>MSA1BIOH Index</v>
      </c>
      <c r="F32" s="5">
        <f t="shared" si="2"/>
        <v>2.4702910077664456E-2</v>
      </c>
    </row>
    <row r="33" spans="1:6" x14ac:dyDescent="0.35">
      <c r="A33" s="10">
        <v>45334</v>
      </c>
      <c r="B33" s="9">
        <v>2.4381335037896096E-2</v>
      </c>
      <c r="D33" s="6" t="str">
        <f t="shared" si="0"/>
        <v>02/12/2024</v>
      </c>
      <c r="E33" s="6" t="str">
        <f t="shared" si="1"/>
        <v>MSA1BIOH Index</v>
      </c>
      <c r="F33" s="5">
        <f t="shared" si="2"/>
        <v>2.4381335037896096E-2</v>
      </c>
    </row>
    <row r="34" spans="1:6" x14ac:dyDescent="0.35">
      <c r="A34" s="8">
        <v>45335</v>
      </c>
      <c r="B34" s="7">
        <v>-5.2504902834729902E-2</v>
      </c>
      <c r="D34" s="6" t="str">
        <f t="shared" si="0"/>
        <v>02/13/2024</v>
      </c>
      <c r="E34" s="6" t="str">
        <f t="shared" si="1"/>
        <v>MSA1BIOH Index</v>
      </c>
      <c r="F34" s="5">
        <f t="shared" si="2"/>
        <v>-5.2504902834729902E-2</v>
      </c>
    </row>
    <row r="35" spans="1:6" x14ac:dyDescent="0.35">
      <c r="A35" s="10">
        <v>45336</v>
      </c>
      <c r="B35" s="9">
        <v>3.2834697525637356E-2</v>
      </c>
      <c r="D35" s="6" t="str">
        <f t="shared" si="0"/>
        <v>02/14/2024</v>
      </c>
      <c r="E35" s="6" t="str">
        <f t="shared" si="1"/>
        <v>MSA1BIOH Index</v>
      </c>
      <c r="F35" s="5">
        <f t="shared" si="2"/>
        <v>3.2834697525637356E-2</v>
      </c>
    </row>
    <row r="36" spans="1:6" x14ac:dyDescent="0.35">
      <c r="A36" s="8">
        <v>45337</v>
      </c>
      <c r="B36" s="7">
        <v>2.2641468081421482E-2</v>
      </c>
      <c r="D36" s="6" t="str">
        <f t="shared" si="0"/>
        <v>02/15/2024</v>
      </c>
      <c r="E36" s="6" t="str">
        <f t="shared" si="1"/>
        <v>MSA1BIOH Index</v>
      </c>
      <c r="F36" s="5">
        <f t="shared" si="2"/>
        <v>2.2641468081421482E-2</v>
      </c>
    </row>
    <row r="37" spans="1:6" x14ac:dyDescent="0.35">
      <c r="A37" s="10">
        <v>45338</v>
      </c>
      <c r="B37" s="9">
        <v>5.2556565116692175E-3</v>
      </c>
      <c r="D37" s="6" t="str">
        <f t="shared" si="0"/>
        <v>02/16/2024</v>
      </c>
      <c r="E37" s="6" t="str">
        <f t="shared" si="1"/>
        <v>MSA1BIOH Index</v>
      </c>
      <c r="F37" s="5">
        <f t="shared" si="2"/>
        <v>5.2556565116692175E-3</v>
      </c>
    </row>
    <row r="38" spans="1:6" x14ac:dyDescent="0.35">
      <c r="A38" s="8">
        <v>45342</v>
      </c>
      <c r="B38" s="7">
        <v>-1.7013735046521809E-2</v>
      </c>
      <c r="D38" s="6" t="str">
        <f t="shared" si="0"/>
        <v>02/20/2024</v>
      </c>
      <c r="E38" s="6" t="str">
        <f t="shared" si="1"/>
        <v>MSA1BIOH Index</v>
      </c>
      <c r="F38" s="5">
        <f t="shared" si="2"/>
        <v>-1.7013735046521809E-2</v>
      </c>
    </row>
    <row r="39" spans="1:6" x14ac:dyDescent="0.35">
      <c r="A39" s="10">
        <v>45343</v>
      </c>
      <c r="B39" s="9">
        <v>-4.4172000360588352E-3</v>
      </c>
      <c r="D39" s="6" t="str">
        <f t="shared" si="0"/>
        <v>02/21/2024</v>
      </c>
      <c r="E39" s="6" t="str">
        <f t="shared" si="1"/>
        <v>MSA1BIOH Index</v>
      </c>
      <c r="F39" s="5">
        <f t="shared" si="2"/>
        <v>-4.4172000360588352E-3</v>
      </c>
    </row>
    <row r="40" spans="1:6" x14ac:dyDescent="0.35">
      <c r="A40" s="8">
        <v>45344</v>
      </c>
      <c r="B40" s="7">
        <v>1.8381021369069186E-2</v>
      </c>
      <c r="D40" s="6" t="str">
        <f t="shared" si="0"/>
        <v>02/22/2024</v>
      </c>
      <c r="E40" s="6" t="str">
        <f t="shared" si="1"/>
        <v>MSA1BIOH Index</v>
      </c>
      <c r="F40" s="5">
        <f t="shared" si="2"/>
        <v>1.8381021369069186E-2</v>
      </c>
    </row>
    <row r="41" spans="1:6" x14ac:dyDescent="0.35">
      <c r="A41" s="10">
        <v>45345</v>
      </c>
      <c r="B41" s="9">
        <v>1.0136036276340391E-2</v>
      </c>
      <c r="D41" s="6" t="str">
        <f t="shared" si="0"/>
        <v>02/23/2024</v>
      </c>
      <c r="E41" s="6" t="str">
        <f t="shared" si="1"/>
        <v>MSA1BIOH Index</v>
      </c>
      <c r="F41" s="5">
        <f t="shared" si="2"/>
        <v>1.0136036276340391E-2</v>
      </c>
    </row>
    <row r="42" spans="1:6" x14ac:dyDescent="0.35">
      <c r="A42" s="8">
        <v>45348</v>
      </c>
      <c r="B42" s="7">
        <v>3.0367045154475858E-2</v>
      </c>
      <c r="D42" s="6" t="str">
        <f t="shared" si="0"/>
        <v>02/26/2024</v>
      </c>
      <c r="E42" s="6" t="str">
        <f t="shared" si="1"/>
        <v>MSA1BIOH Index</v>
      </c>
      <c r="F42" s="5">
        <f t="shared" si="2"/>
        <v>3.0367045154475858E-2</v>
      </c>
    </row>
    <row r="43" spans="1:6" x14ac:dyDescent="0.35">
      <c r="A43" s="10">
        <v>45349</v>
      </c>
      <c r="B43" s="9">
        <v>5.8175294720656093E-2</v>
      </c>
      <c r="D43" s="6" t="str">
        <f t="shared" si="0"/>
        <v>02/27/2024</v>
      </c>
      <c r="E43" s="6" t="str">
        <f t="shared" si="1"/>
        <v>MSA1BIOH Index</v>
      </c>
      <c r="F43" s="5">
        <f t="shared" si="2"/>
        <v>5.8175294720656093E-2</v>
      </c>
    </row>
    <row r="44" spans="1:6" x14ac:dyDescent="0.35">
      <c r="A44" s="8">
        <v>45350</v>
      </c>
      <c r="B44" s="7">
        <v>-1.5257931702591499E-2</v>
      </c>
      <c r="D44" s="6" t="str">
        <f t="shared" si="0"/>
        <v>02/28/2024</v>
      </c>
      <c r="E44" s="6" t="str">
        <f t="shared" si="1"/>
        <v>MSA1BIOH Index</v>
      </c>
      <c r="F44" s="5">
        <f t="shared" si="2"/>
        <v>-1.5257931702591499E-2</v>
      </c>
    </row>
    <row r="45" spans="1:6" x14ac:dyDescent="0.35">
      <c r="A45" s="10">
        <v>45351</v>
      </c>
      <c r="B45" s="9">
        <v>-2.2380718150516496E-2</v>
      </c>
      <c r="D45" s="6" t="str">
        <f t="shared" si="0"/>
        <v>02/29/2024</v>
      </c>
      <c r="E45" s="6" t="str">
        <f t="shared" si="1"/>
        <v>MSA1BIOH Index</v>
      </c>
      <c r="F45" s="5">
        <f t="shared" si="2"/>
        <v>-2.2380718150516496E-2</v>
      </c>
    </row>
    <row r="46" spans="1:6" x14ac:dyDescent="0.35">
      <c r="A46" s="8">
        <v>45352</v>
      </c>
      <c r="B46" s="7">
        <v>3.7568134171907804E-2</v>
      </c>
      <c r="D46" s="6" t="str">
        <f t="shared" si="0"/>
        <v>03/01/2024</v>
      </c>
      <c r="E46" s="6" t="str">
        <f t="shared" si="1"/>
        <v>MSA1BIOH Index</v>
      </c>
      <c r="F46" s="5">
        <f t="shared" si="2"/>
        <v>3.7568134171907804E-2</v>
      </c>
    </row>
    <row r="47" spans="1:6" x14ac:dyDescent="0.35">
      <c r="A47" s="10">
        <v>45355</v>
      </c>
      <c r="B47" s="9">
        <v>-1.5113553705649482E-2</v>
      </c>
      <c r="D47" s="6" t="str">
        <f t="shared" si="0"/>
        <v>03/04/2024</v>
      </c>
      <c r="E47" s="6" t="str">
        <f t="shared" si="1"/>
        <v>MSA1BIOH Index</v>
      </c>
      <c r="F47" s="5">
        <f t="shared" si="2"/>
        <v>-1.5113553705649482E-2</v>
      </c>
    </row>
    <row r="48" spans="1:6" x14ac:dyDescent="0.35">
      <c r="A48" s="8">
        <v>45356</v>
      </c>
      <c r="B48" s="7">
        <v>-1.1488593467914022E-2</v>
      </c>
      <c r="D48" s="6" t="str">
        <f t="shared" si="0"/>
        <v>03/05/2024</v>
      </c>
      <c r="E48" s="6" t="str">
        <f t="shared" si="1"/>
        <v>MSA1BIOH Index</v>
      </c>
      <c r="F48" s="5">
        <f t="shared" si="2"/>
        <v>-1.1488593467914022E-2</v>
      </c>
    </row>
    <row r="49" spans="1:6" x14ac:dyDescent="0.35">
      <c r="A49" s="10">
        <v>45357</v>
      </c>
      <c r="B49" s="9">
        <v>1.0791964137473091E-2</v>
      </c>
      <c r="D49" s="6" t="str">
        <f t="shared" si="0"/>
        <v>03/06/2024</v>
      </c>
      <c r="E49" s="6" t="str">
        <f t="shared" si="1"/>
        <v>MSA1BIOH Index</v>
      </c>
      <c r="F49" s="5">
        <f t="shared" si="2"/>
        <v>1.0791964137473091E-2</v>
      </c>
    </row>
    <row r="50" spans="1:6" x14ac:dyDescent="0.35">
      <c r="A50" s="8">
        <v>45358</v>
      </c>
      <c r="B50" s="7">
        <v>-1.1990801576872528E-2</v>
      </c>
      <c r="D50" s="6" t="str">
        <f t="shared" si="0"/>
        <v>03/07/2024</v>
      </c>
      <c r="E50" s="6" t="str">
        <f t="shared" si="1"/>
        <v>MSA1BIOH Index</v>
      </c>
      <c r="F50" s="5">
        <f t="shared" si="2"/>
        <v>-1.1990801576872528E-2</v>
      </c>
    </row>
    <row r="51" spans="1:6" x14ac:dyDescent="0.35">
      <c r="A51" s="10">
        <v>45359</v>
      </c>
      <c r="B51" s="9">
        <v>2.0781379883623636E-3</v>
      </c>
      <c r="D51" s="6" t="str">
        <f t="shared" si="0"/>
        <v>03/08/2024</v>
      </c>
      <c r="E51" s="6" t="str">
        <f t="shared" si="1"/>
        <v>MSA1BIOH Index</v>
      </c>
      <c r="F51" s="5">
        <f t="shared" si="2"/>
        <v>2.0781379883623636E-3</v>
      </c>
    </row>
    <row r="52" spans="1:6" x14ac:dyDescent="0.35">
      <c r="A52" s="8">
        <v>45362</v>
      </c>
      <c r="B52" s="7">
        <v>-2.455412691829113E-2</v>
      </c>
      <c r="D52" s="6" t="str">
        <f t="shared" si="0"/>
        <v>03/11/2024</v>
      </c>
      <c r="E52" s="6" t="str">
        <f t="shared" si="1"/>
        <v>MSA1BIOH Index</v>
      </c>
      <c r="F52" s="5">
        <f t="shared" si="2"/>
        <v>-2.455412691829113E-2</v>
      </c>
    </row>
    <row r="53" spans="1:6" x14ac:dyDescent="0.35">
      <c r="A53" s="10">
        <v>45363</v>
      </c>
      <c r="B53" s="9">
        <v>-7.9088357853558545E-3</v>
      </c>
      <c r="D53" s="6" t="str">
        <f t="shared" si="0"/>
        <v>03/12/2024</v>
      </c>
      <c r="E53" s="6" t="str">
        <f t="shared" si="1"/>
        <v>MSA1BIOH Index</v>
      </c>
      <c r="F53" s="5">
        <f t="shared" si="2"/>
        <v>-7.9088357853558545E-3</v>
      </c>
    </row>
    <row r="54" spans="1:6" x14ac:dyDescent="0.35">
      <c r="A54" s="8">
        <v>45364</v>
      </c>
      <c r="B54" s="7">
        <v>1.2257843305331802E-2</v>
      </c>
      <c r="D54" s="6" t="str">
        <f t="shared" si="0"/>
        <v>03/13/2024</v>
      </c>
      <c r="E54" s="6" t="str">
        <f t="shared" si="1"/>
        <v>MSA1BIOH Index</v>
      </c>
      <c r="F54" s="5">
        <f t="shared" si="2"/>
        <v>1.2257843305331802E-2</v>
      </c>
    </row>
    <row r="55" spans="1:6" x14ac:dyDescent="0.35">
      <c r="A55" s="10">
        <v>45365</v>
      </c>
      <c r="B55" s="9">
        <v>-3.8295633230600735E-2</v>
      </c>
      <c r="D55" s="6" t="str">
        <f t="shared" si="0"/>
        <v>03/14/2024</v>
      </c>
      <c r="E55" s="6" t="str">
        <f t="shared" si="1"/>
        <v>MSA1BIOH Index</v>
      </c>
      <c r="F55" s="5">
        <f t="shared" si="2"/>
        <v>-3.8295633230600735E-2</v>
      </c>
    </row>
    <row r="56" spans="1:6" x14ac:dyDescent="0.35">
      <c r="A56" s="8">
        <v>45366</v>
      </c>
      <c r="B56" s="7">
        <v>1.2768580486086714E-2</v>
      </c>
      <c r="D56" s="6" t="str">
        <f t="shared" si="0"/>
        <v>03/15/2024</v>
      </c>
      <c r="E56" s="6" t="str">
        <f t="shared" si="1"/>
        <v>MSA1BIOH Index</v>
      </c>
      <c r="F56" s="5">
        <f t="shared" si="2"/>
        <v>1.2768580486086714E-2</v>
      </c>
    </row>
    <row r="57" spans="1:6" x14ac:dyDescent="0.35">
      <c r="A57" s="10">
        <v>45369</v>
      </c>
      <c r="B57" s="9">
        <v>-1.9128771411181737E-2</v>
      </c>
      <c r="D57" s="6" t="str">
        <f t="shared" si="0"/>
        <v>03/18/2024</v>
      </c>
      <c r="E57" s="6" t="str">
        <f t="shared" si="1"/>
        <v>MSA1BIOH Index</v>
      </c>
      <c r="F57" s="5">
        <f t="shared" si="2"/>
        <v>-1.9128771411181737E-2</v>
      </c>
    </row>
    <row r="58" spans="1:6" x14ac:dyDescent="0.35">
      <c r="A58" s="8">
        <v>45370</v>
      </c>
      <c r="B58" s="7">
        <v>1.6753833879975265E-2</v>
      </c>
      <c r="D58" s="6" t="str">
        <f t="shared" si="0"/>
        <v>03/19/2024</v>
      </c>
      <c r="E58" s="6" t="str">
        <f t="shared" si="1"/>
        <v>MSA1BIOH Index</v>
      </c>
      <c r="F58" s="5">
        <f t="shared" si="2"/>
        <v>1.6753833879975265E-2</v>
      </c>
    </row>
    <row r="59" spans="1:6" x14ac:dyDescent="0.35">
      <c r="A59" s="10">
        <v>45371</v>
      </c>
      <c r="B59" s="9">
        <v>1.6477768090671276E-2</v>
      </c>
      <c r="D59" s="6" t="str">
        <f t="shared" si="0"/>
        <v>03/20/2024</v>
      </c>
      <c r="E59" s="6" t="str">
        <f t="shared" si="1"/>
        <v>MSA1BIOH Index</v>
      </c>
      <c r="F59" s="5">
        <f t="shared" si="2"/>
        <v>1.6477768090671276E-2</v>
      </c>
    </row>
    <row r="60" spans="1:6" x14ac:dyDescent="0.35">
      <c r="A60" s="8">
        <v>45372</v>
      </c>
      <c r="B60" s="7">
        <v>-9.4347714212191002E-4</v>
      </c>
      <c r="D60" s="6" t="str">
        <f t="shared" si="0"/>
        <v>03/21/2024</v>
      </c>
      <c r="E60" s="6" t="str">
        <f t="shared" si="1"/>
        <v>MSA1BIOH Index</v>
      </c>
      <c r="F60" s="5">
        <f t="shared" si="2"/>
        <v>-9.4347714212191002E-4</v>
      </c>
    </row>
    <row r="61" spans="1:6" x14ac:dyDescent="0.35">
      <c r="A61" s="10">
        <v>45373</v>
      </c>
      <c r="B61" s="9">
        <v>-1.802884615384634E-2</v>
      </c>
      <c r="D61" s="6" t="str">
        <f t="shared" si="0"/>
        <v>03/22/2024</v>
      </c>
      <c r="E61" s="6" t="str">
        <f t="shared" si="1"/>
        <v>MSA1BIOH Index</v>
      </c>
      <c r="F61" s="5">
        <f t="shared" si="2"/>
        <v>-1.802884615384634E-2</v>
      </c>
    </row>
    <row r="62" spans="1:6" x14ac:dyDescent="0.35">
      <c r="A62" s="8">
        <v>45376</v>
      </c>
      <c r="B62" s="7">
        <v>-7.0816576324531921E-3</v>
      </c>
      <c r="D62" s="6" t="str">
        <f t="shared" si="0"/>
        <v>03/25/2024</v>
      </c>
      <c r="E62" s="6" t="str">
        <f t="shared" si="1"/>
        <v>MSA1BIOH Index</v>
      </c>
      <c r="F62" s="5">
        <f t="shared" si="2"/>
        <v>-7.0816576324531921E-3</v>
      </c>
    </row>
    <row r="63" spans="1:6" x14ac:dyDescent="0.35">
      <c r="A63" s="10">
        <v>45377</v>
      </c>
      <c r="B63" s="9">
        <v>1.1446684863961811E-3</v>
      </c>
      <c r="D63" s="6" t="str">
        <f t="shared" si="0"/>
        <v>03/26/2024</v>
      </c>
      <c r="E63" s="6" t="str">
        <f t="shared" si="1"/>
        <v>MSA1BIOH Index</v>
      </c>
      <c r="F63" s="5">
        <f t="shared" si="2"/>
        <v>1.1446684863961811E-3</v>
      </c>
    </row>
    <row r="64" spans="1:6" x14ac:dyDescent="0.35">
      <c r="A64" s="8">
        <v>45378</v>
      </c>
      <c r="B64" s="7">
        <v>2.4714160070360591E-2</v>
      </c>
      <c r="D64" s="6" t="str">
        <f t="shared" si="0"/>
        <v>03/27/2024</v>
      </c>
      <c r="E64" s="6" t="str">
        <f t="shared" si="1"/>
        <v>MSA1BIOH Index</v>
      </c>
      <c r="F64" s="5">
        <f t="shared" si="2"/>
        <v>2.4714160070360591E-2</v>
      </c>
    </row>
    <row r="65" spans="1:6" x14ac:dyDescent="0.35">
      <c r="A65" s="10">
        <v>45379</v>
      </c>
      <c r="B65" s="9">
        <v>1.7165908505705986E-3</v>
      </c>
      <c r="D65" s="6" t="str">
        <f t="shared" si="0"/>
        <v>03/28/2024</v>
      </c>
      <c r="E65" s="6" t="str">
        <f t="shared" si="1"/>
        <v>MSA1BIOH Index</v>
      </c>
      <c r="F65" s="5">
        <f t="shared" si="2"/>
        <v>1.7165908505705986E-3</v>
      </c>
    </row>
    <row r="66" spans="1:6" x14ac:dyDescent="0.35">
      <c r="A66" s="8">
        <v>45383</v>
      </c>
      <c r="B66" s="7">
        <v>-1.4223288492845439E-2</v>
      </c>
      <c r="D66" s="6" t="str">
        <f t="shared" si="0"/>
        <v>04/01/2024</v>
      </c>
      <c r="E66" s="6" t="str">
        <f t="shared" si="1"/>
        <v>MSA1BIOH Index</v>
      </c>
      <c r="F66" s="5">
        <f t="shared" si="2"/>
        <v>-1.4223288492845439E-2</v>
      </c>
    </row>
    <row r="67" spans="1:6" x14ac:dyDescent="0.35">
      <c r="A67" s="10">
        <v>45384</v>
      </c>
      <c r="B67" s="9">
        <v>-3.4159061277705322E-2</v>
      </c>
      <c r="D67" s="6" t="str">
        <f t="shared" ref="D67:D130" si="3">IF(A67 =  "", "",  TEXT(A67, "mm/dd/yyyy"))</f>
        <v>04/02/2024</v>
      </c>
      <c r="E67" s="6" t="str">
        <f t="shared" ref="E67:E130" si="4">IF(A67="", "", EntityLocal)</f>
        <v>MSA1BIOH Index</v>
      </c>
      <c r="F67" s="5">
        <f t="shared" ref="F67:F130" si="5">IF(B67="","", B67)</f>
        <v>-3.4159061277705322E-2</v>
      </c>
    </row>
    <row r="68" spans="1:6" x14ac:dyDescent="0.35">
      <c r="A68" s="8">
        <v>45385</v>
      </c>
      <c r="B68" s="7">
        <v>4.0496760259178498E-3</v>
      </c>
      <c r="D68" s="6" t="str">
        <f t="shared" si="3"/>
        <v>04/03/2024</v>
      </c>
      <c r="E68" s="6" t="str">
        <f t="shared" si="4"/>
        <v>MSA1BIOH Index</v>
      </c>
      <c r="F68" s="5">
        <f t="shared" si="5"/>
        <v>4.0496760259178498E-3</v>
      </c>
    </row>
    <row r="69" spans="1:6" x14ac:dyDescent="0.35">
      <c r="A69" s="10">
        <v>45386</v>
      </c>
      <c r="B69" s="9">
        <v>-1.6940037644527933E-2</v>
      </c>
      <c r="D69" s="6" t="str">
        <f t="shared" si="3"/>
        <v>04/04/2024</v>
      </c>
      <c r="E69" s="6" t="str">
        <f t="shared" si="4"/>
        <v>MSA1BIOH Index</v>
      </c>
      <c r="F69" s="5">
        <f t="shared" si="5"/>
        <v>-1.6940037644527933E-2</v>
      </c>
    </row>
    <row r="70" spans="1:6" x14ac:dyDescent="0.35">
      <c r="A70" s="8">
        <v>45387</v>
      </c>
      <c r="B70" s="7">
        <v>7.5674690007294177E-3</v>
      </c>
      <c r="D70" s="6" t="str">
        <f t="shared" si="3"/>
        <v>04/05/2024</v>
      </c>
      <c r="E70" s="6" t="str">
        <f t="shared" si="4"/>
        <v>MSA1BIOH Index</v>
      </c>
      <c r="F70" s="5">
        <f t="shared" si="5"/>
        <v>7.5674690007294177E-3</v>
      </c>
    </row>
    <row r="71" spans="1:6" x14ac:dyDescent="0.35">
      <c r="A71" s="10">
        <v>45390</v>
      </c>
      <c r="B71" s="9">
        <v>1.2668536784000461E-3</v>
      </c>
      <c r="D71" s="6" t="str">
        <f t="shared" si="3"/>
        <v>04/08/2024</v>
      </c>
      <c r="E71" s="6" t="str">
        <f t="shared" si="4"/>
        <v>MSA1BIOH Index</v>
      </c>
      <c r="F71" s="5">
        <f t="shared" si="5"/>
        <v>1.2668536784000461E-3</v>
      </c>
    </row>
    <row r="72" spans="1:6" x14ac:dyDescent="0.35">
      <c r="A72" s="8">
        <v>45391</v>
      </c>
      <c r="B72" s="7">
        <v>1.1568007230004593E-2</v>
      </c>
      <c r="D72" s="6" t="str">
        <f t="shared" si="3"/>
        <v>04/09/2024</v>
      </c>
      <c r="E72" s="6" t="str">
        <f t="shared" si="4"/>
        <v>MSA1BIOH Index</v>
      </c>
      <c r="F72" s="5">
        <f t="shared" si="5"/>
        <v>1.1568007230004593E-2</v>
      </c>
    </row>
    <row r="73" spans="1:6" x14ac:dyDescent="0.35">
      <c r="A73" s="10">
        <v>45392</v>
      </c>
      <c r="B73" s="9">
        <v>-1.9297775395336485E-2</v>
      </c>
      <c r="D73" s="6" t="str">
        <f t="shared" si="3"/>
        <v>04/10/2024</v>
      </c>
      <c r="E73" s="6" t="str">
        <f t="shared" si="4"/>
        <v>MSA1BIOH Index</v>
      </c>
      <c r="F73" s="5">
        <f t="shared" si="5"/>
        <v>-1.9297775395336485E-2</v>
      </c>
    </row>
    <row r="74" spans="1:6" x14ac:dyDescent="0.35">
      <c r="A74" s="8">
        <v>45393</v>
      </c>
      <c r="B74" s="7">
        <v>1.6762321217090349E-2</v>
      </c>
      <c r="D74" s="6" t="str">
        <f t="shared" si="3"/>
        <v>04/11/2024</v>
      </c>
      <c r="E74" s="6" t="str">
        <f t="shared" si="4"/>
        <v>MSA1BIOH Index</v>
      </c>
      <c r="F74" s="5">
        <f t="shared" si="5"/>
        <v>1.6762321217090349E-2</v>
      </c>
    </row>
    <row r="75" spans="1:6" x14ac:dyDescent="0.35">
      <c r="A75" s="10">
        <v>45394</v>
      </c>
      <c r="B75" s="9">
        <v>-3.2007939032441923E-2</v>
      </c>
      <c r="D75" s="6" t="str">
        <f t="shared" si="3"/>
        <v>04/12/2024</v>
      </c>
      <c r="E75" s="6" t="str">
        <f t="shared" si="4"/>
        <v>MSA1BIOH Index</v>
      </c>
      <c r="F75" s="5">
        <f t="shared" si="5"/>
        <v>-3.2007939032441923E-2</v>
      </c>
    </row>
    <row r="76" spans="1:6" x14ac:dyDescent="0.35">
      <c r="A76" s="8">
        <v>45397</v>
      </c>
      <c r="B76" s="7">
        <v>-2.240118485605851E-2</v>
      </c>
      <c r="D76" s="6" t="str">
        <f t="shared" si="3"/>
        <v>04/15/2024</v>
      </c>
      <c r="E76" s="6" t="str">
        <f t="shared" si="4"/>
        <v>MSA1BIOH Index</v>
      </c>
      <c r="F76" s="5">
        <f t="shared" si="5"/>
        <v>-2.240118485605851E-2</v>
      </c>
    </row>
    <row r="77" spans="1:6" x14ac:dyDescent="0.35">
      <c r="A77" s="10">
        <v>45398</v>
      </c>
      <c r="B77" s="9">
        <v>-1.2404128396932014E-2</v>
      </c>
      <c r="D77" s="6" t="str">
        <f t="shared" si="3"/>
        <v>04/16/2024</v>
      </c>
      <c r="E77" s="6" t="str">
        <f t="shared" si="4"/>
        <v>MSA1BIOH Index</v>
      </c>
      <c r="F77" s="5">
        <f t="shared" si="5"/>
        <v>-1.2404128396932014E-2</v>
      </c>
    </row>
    <row r="78" spans="1:6" x14ac:dyDescent="0.35">
      <c r="A78" s="8">
        <v>45399</v>
      </c>
      <c r="B78" s="7">
        <v>-1.4093959731543666E-2</v>
      </c>
      <c r="D78" s="6" t="str">
        <f t="shared" si="3"/>
        <v>04/17/2024</v>
      </c>
      <c r="E78" s="6" t="str">
        <f t="shared" si="4"/>
        <v>MSA1BIOH Index</v>
      </c>
      <c r="F78" s="5">
        <f t="shared" si="5"/>
        <v>-1.4093959731543666E-2</v>
      </c>
    </row>
    <row r="79" spans="1:6" x14ac:dyDescent="0.35">
      <c r="A79" s="10">
        <v>45400</v>
      </c>
      <c r="B79" s="9">
        <v>-1.5267917922785191E-2</v>
      </c>
      <c r="D79" s="6" t="str">
        <f t="shared" si="3"/>
        <v>04/18/2024</v>
      </c>
      <c r="E79" s="6" t="str">
        <f t="shared" si="4"/>
        <v>MSA1BIOH Index</v>
      </c>
      <c r="F79" s="5">
        <f t="shared" si="5"/>
        <v>-1.5267917922785191E-2</v>
      </c>
    </row>
    <row r="80" spans="1:6" x14ac:dyDescent="0.35">
      <c r="A80" s="8">
        <v>45401</v>
      </c>
      <c r="B80" s="7">
        <v>-9.1842780959905182E-3</v>
      </c>
      <c r="D80" s="6" t="str">
        <f t="shared" si="3"/>
        <v>04/19/2024</v>
      </c>
      <c r="E80" s="6" t="str">
        <f t="shared" si="4"/>
        <v>MSA1BIOH Index</v>
      </c>
      <c r="F80" s="5">
        <f t="shared" si="5"/>
        <v>-9.1842780959905182E-3</v>
      </c>
    </row>
    <row r="81" spans="1:6" x14ac:dyDescent="0.35">
      <c r="A81" s="10">
        <v>45404</v>
      </c>
      <c r="B81" s="9">
        <v>1.0565135054320725E-2</v>
      </c>
      <c r="D81" s="6" t="str">
        <f t="shared" si="3"/>
        <v>04/22/2024</v>
      </c>
      <c r="E81" s="6" t="str">
        <f t="shared" si="4"/>
        <v>MSA1BIOH Index</v>
      </c>
      <c r="F81" s="5">
        <f t="shared" si="5"/>
        <v>1.0565135054320725E-2</v>
      </c>
    </row>
    <row r="82" spans="1:6" x14ac:dyDescent="0.35">
      <c r="A82" s="8">
        <v>45405</v>
      </c>
      <c r="B82" s="7">
        <v>1.1539599566032158E-2</v>
      </c>
      <c r="D82" s="6" t="str">
        <f t="shared" si="3"/>
        <v>04/23/2024</v>
      </c>
      <c r="E82" s="6" t="str">
        <f t="shared" si="4"/>
        <v>MSA1BIOH Index</v>
      </c>
      <c r="F82" s="5">
        <f t="shared" si="5"/>
        <v>1.1539599566032158E-2</v>
      </c>
    </row>
    <row r="83" spans="1:6" x14ac:dyDescent="0.35">
      <c r="A83" s="10">
        <v>45406</v>
      </c>
      <c r="B83" s="9">
        <v>-1.1505460218408791E-2</v>
      </c>
      <c r="D83" s="6" t="str">
        <f t="shared" si="3"/>
        <v>04/24/2024</v>
      </c>
      <c r="E83" s="6" t="str">
        <f t="shared" si="4"/>
        <v>MSA1BIOH Index</v>
      </c>
      <c r="F83" s="5">
        <f t="shared" si="5"/>
        <v>-1.1505460218408791E-2</v>
      </c>
    </row>
    <row r="84" spans="1:6" x14ac:dyDescent="0.35">
      <c r="A84" s="8">
        <v>45407</v>
      </c>
      <c r="B84" s="7">
        <v>-2.0714144801735907E-2</v>
      </c>
      <c r="D84" s="6" t="str">
        <f t="shared" si="3"/>
        <v>04/25/2024</v>
      </c>
      <c r="E84" s="6" t="str">
        <f t="shared" si="4"/>
        <v>MSA1BIOH Index</v>
      </c>
      <c r="F84" s="5">
        <f t="shared" si="5"/>
        <v>-2.0714144801735907E-2</v>
      </c>
    </row>
    <row r="85" spans="1:6" x14ac:dyDescent="0.35">
      <c r="A85" s="10">
        <v>45408</v>
      </c>
      <c r="B85" s="9">
        <v>1.5310233682513986E-2</v>
      </c>
      <c r="D85" s="6" t="str">
        <f t="shared" si="3"/>
        <v>04/26/2024</v>
      </c>
      <c r="E85" s="6" t="str">
        <f t="shared" si="4"/>
        <v>MSA1BIOH Index</v>
      </c>
      <c r="F85" s="5">
        <f t="shared" si="5"/>
        <v>1.5310233682513986E-2</v>
      </c>
    </row>
    <row r="86" spans="1:6" x14ac:dyDescent="0.35">
      <c r="A86" s="8">
        <v>45411</v>
      </c>
      <c r="B86" s="7">
        <v>2.4007936507936516E-2</v>
      </c>
      <c r="D86" s="6" t="str">
        <f t="shared" si="3"/>
        <v>04/29/2024</v>
      </c>
      <c r="E86" s="6" t="str">
        <f t="shared" si="4"/>
        <v>MSA1BIOH Index</v>
      </c>
      <c r="F86" s="5">
        <f t="shared" si="5"/>
        <v>2.4007936507936516E-2</v>
      </c>
    </row>
    <row r="87" spans="1:6" x14ac:dyDescent="0.35">
      <c r="A87" s="10">
        <v>45412</v>
      </c>
      <c r="B87" s="9">
        <v>-1.1335012594458441E-2</v>
      </c>
      <c r="D87" s="6" t="str">
        <f t="shared" si="3"/>
        <v>04/30/2024</v>
      </c>
      <c r="E87" s="6" t="str">
        <f t="shared" si="4"/>
        <v>MSA1BIOH Index</v>
      </c>
      <c r="F87" s="5">
        <f t="shared" si="5"/>
        <v>-1.1335012594458441E-2</v>
      </c>
    </row>
    <row r="88" spans="1:6" x14ac:dyDescent="0.35">
      <c r="A88" s="8">
        <v>45413</v>
      </c>
      <c r="B88" s="7">
        <v>3.7530622243998057E-2</v>
      </c>
      <c r="D88" s="6" t="str">
        <f t="shared" si="3"/>
        <v>05/01/2024</v>
      </c>
      <c r="E88" s="6" t="str">
        <f t="shared" si="4"/>
        <v>MSA1BIOH Index</v>
      </c>
      <c r="F88" s="5">
        <f t="shared" si="5"/>
        <v>3.7530622243998057E-2</v>
      </c>
    </row>
    <row r="89" spans="1:6" x14ac:dyDescent="0.35">
      <c r="A89" s="10">
        <v>45414</v>
      </c>
      <c r="B89" s="9">
        <v>1.3033622969399446E-2</v>
      </c>
      <c r="D89" s="6" t="str">
        <f t="shared" si="3"/>
        <v>05/02/2024</v>
      </c>
      <c r="E89" s="6" t="str">
        <f t="shared" si="4"/>
        <v>MSA1BIOH Index</v>
      </c>
      <c r="F89" s="5">
        <f t="shared" si="5"/>
        <v>1.3033622969399446E-2</v>
      </c>
    </row>
    <row r="90" spans="1:6" x14ac:dyDescent="0.35">
      <c r="A90" s="8">
        <v>45415</v>
      </c>
      <c r="B90" s="7">
        <v>1.7993660264777125E-2</v>
      </c>
      <c r="D90" s="6" t="str">
        <f t="shared" si="3"/>
        <v>05/03/2024</v>
      </c>
      <c r="E90" s="6" t="str">
        <f t="shared" si="4"/>
        <v>MSA1BIOH Index</v>
      </c>
      <c r="F90" s="5">
        <f t="shared" si="5"/>
        <v>1.7993660264777125E-2</v>
      </c>
    </row>
    <row r="91" spans="1:6" x14ac:dyDescent="0.35">
      <c r="A91" s="10">
        <v>45418</v>
      </c>
      <c r="B91" s="9">
        <v>5.586592178770943E-3</v>
      </c>
      <c r="D91" s="6" t="str">
        <f t="shared" si="3"/>
        <v>05/06/2024</v>
      </c>
      <c r="E91" s="6" t="str">
        <f t="shared" si="4"/>
        <v>MSA1BIOH Index</v>
      </c>
      <c r="F91" s="5">
        <f t="shared" si="5"/>
        <v>5.586592178770943E-3</v>
      </c>
    </row>
    <row r="92" spans="1:6" x14ac:dyDescent="0.35">
      <c r="A92" s="8">
        <v>45419</v>
      </c>
      <c r="B92" s="7">
        <v>-2.3679417122039791E-3</v>
      </c>
      <c r="D92" s="6" t="str">
        <f t="shared" si="3"/>
        <v>05/07/2024</v>
      </c>
      <c r="E92" s="6" t="str">
        <f t="shared" si="4"/>
        <v>MSA1BIOH Index</v>
      </c>
      <c r="F92" s="5">
        <f t="shared" si="5"/>
        <v>-2.3679417122039791E-3</v>
      </c>
    </row>
    <row r="93" spans="1:6" x14ac:dyDescent="0.35">
      <c r="A93" s="10">
        <v>45420</v>
      </c>
      <c r="B93" s="9">
        <v>-1.6797516888807769E-2</v>
      </c>
      <c r="D93" s="6" t="str">
        <f t="shared" si="3"/>
        <v>05/08/2024</v>
      </c>
      <c r="E93" s="6" t="str">
        <f t="shared" si="4"/>
        <v>MSA1BIOH Index</v>
      </c>
      <c r="F93" s="5">
        <f t="shared" si="5"/>
        <v>-1.6797516888807769E-2</v>
      </c>
    </row>
    <row r="94" spans="1:6" x14ac:dyDescent="0.35">
      <c r="A94" s="8">
        <v>45421</v>
      </c>
      <c r="B94" s="7">
        <v>-9.285051067781879E-4</v>
      </c>
      <c r="D94" s="6" t="str">
        <f t="shared" si="3"/>
        <v>05/09/2024</v>
      </c>
      <c r="E94" s="6" t="str">
        <f t="shared" si="4"/>
        <v>MSA1BIOH Index</v>
      </c>
      <c r="F94" s="5">
        <f t="shared" si="5"/>
        <v>-9.285051067781879E-4</v>
      </c>
    </row>
    <row r="95" spans="1:6" x14ac:dyDescent="0.35">
      <c r="A95" s="10">
        <v>45422</v>
      </c>
      <c r="B95" s="9">
        <v>-1.8494423791821545E-2</v>
      </c>
      <c r="D95" s="6" t="str">
        <f t="shared" si="3"/>
        <v>05/10/2024</v>
      </c>
      <c r="E95" s="6" t="str">
        <f t="shared" si="4"/>
        <v>MSA1BIOH Index</v>
      </c>
      <c r="F95" s="5">
        <f t="shared" si="5"/>
        <v>-1.8494423791821545E-2</v>
      </c>
    </row>
    <row r="96" spans="1:6" x14ac:dyDescent="0.35">
      <c r="A96" s="8">
        <v>45425</v>
      </c>
      <c r="B96" s="7">
        <v>1.9695104630243383E-2</v>
      </c>
      <c r="D96" s="6" t="str">
        <f t="shared" si="3"/>
        <v>05/13/2024</v>
      </c>
      <c r="E96" s="6" t="str">
        <f t="shared" si="4"/>
        <v>MSA1BIOH Index</v>
      </c>
      <c r="F96" s="5">
        <f t="shared" si="5"/>
        <v>1.9695104630243383E-2</v>
      </c>
    </row>
    <row r="97" spans="1:6" x14ac:dyDescent="0.35">
      <c r="A97" s="10">
        <v>45426</v>
      </c>
      <c r="B97" s="9">
        <v>9.3787724022657629E-3</v>
      </c>
      <c r="D97" s="6" t="str">
        <f t="shared" si="3"/>
        <v>05/14/2024</v>
      </c>
      <c r="E97" s="6" t="str">
        <f t="shared" si="4"/>
        <v>MSA1BIOH Index</v>
      </c>
      <c r="F97" s="5">
        <f t="shared" si="5"/>
        <v>9.3787724022657629E-3</v>
      </c>
    </row>
    <row r="98" spans="1:6" x14ac:dyDescent="0.35">
      <c r="A98" s="8">
        <v>45427</v>
      </c>
      <c r="B98" s="7">
        <v>2.0515179392824406E-2</v>
      </c>
      <c r="D98" s="6" t="str">
        <f t="shared" si="3"/>
        <v>05/15/2024</v>
      </c>
      <c r="E98" s="6" t="str">
        <f t="shared" si="4"/>
        <v>MSA1BIOH Index</v>
      </c>
      <c r="F98" s="5">
        <f t="shared" si="5"/>
        <v>2.0515179392824406E-2</v>
      </c>
    </row>
    <row r="99" spans="1:6" x14ac:dyDescent="0.35">
      <c r="A99" s="10">
        <v>45428</v>
      </c>
      <c r="B99" s="9">
        <v>-4.8278600152763736E-4</v>
      </c>
      <c r="D99" s="6" t="str">
        <f t="shared" si="3"/>
        <v>05/16/2024</v>
      </c>
      <c r="E99" s="6" t="str">
        <f t="shared" si="4"/>
        <v>MSA1BIOH Index</v>
      </c>
      <c r="F99" s="5">
        <f t="shared" si="5"/>
        <v>-4.8278600152763736E-4</v>
      </c>
    </row>
    <row r="100" spans="1:6" x14ac:dyDescent="0.35">
      <c r="A100" s="8">
        <v>45429</v>
      </c>
      <c r="B100" s="7">
        <v>-1.542346892757294E-2</v>
      </c>
      <c r="D100" s="6" t="str">
        <f t="shared" si="3"/>
        <v>05/17/2024</v>
      </c>
      <c r="E100" s="6" t="str">
        <f t="shared" si="4"/>
        <v>MSA1BIOH Index</v>
      </c>
      <c r="F100" s="5">
        <f t="shared" si="5"/>
        <v>-1.542346892757294E-2</v>
      </c>
    </row>
    <row r="101" spans="1:6" x14ac:dyDescent="0.35">
      <c r="A101" s="10">
        <v>45432</v>
      </c>
      <c r="B101" s="9">
        <v>1.3095831434705073E-2</v>
      </c>
      <c r="D101" s="6" t="str">
        <f t="shared" si="3"/>
        <v>05/20/2024</v>
      </c>
      <c r="E101" s="6" t="str">
        <f t="shared" si="4"/>
        <v>MSA1BIOH Index</v>
      </c>
      <c r="F101" s="5">
        <f t="shared" si="5"/>
        <v>1.3095831434705073E-2</v>
      </c>
    </row>
    <row r="102" spans="1:6" x14ac:dyDescent="0.35">
      <c r="A102" s="8">
        <v>45433</v>
      </c>
      <c r="B102" s="7">
        <v>-1.0499637943519231E-2</v>
      </c>
      <c r="D102" s="6" t="str">
        <f t="shared" si="3"/>
        <v>05/21/2024</v>
      </c>
      <c r="E102" s="6" t="str">
        <f t="shared" si="4"/>
        <v>MSA1BIOH Index</v>
      </c>
      <c r="F102" s="5">
        <f t="shared" si="5"/>
        <v>-1.0499637943519231E-2</v>
      </c>
    </row>
    <row r="103" spans="1:6" x14ac:dyDescent="0.35">
      <c r="A103" s="10">
        <v>45434</v>
      </c>
      <c r="B103" s="9">
        <v>6.0373216245884287E-3</v>
      </c>
      <c r="D103" s="6" t="str">
        <f t="shared" si="3"/>
        <v>05/22/2024</v>
      </c>
      <c r="E103" s="6" t="str">
        <f t="shared" si="4"/>
        <v>MSA1BIOH Index</v>
      </c>
      <c r="F103" s="5">
        <f t="shared" si="5"/>
        <v>6.0373216245884287E-3</v>
      </c>
    </row>
    <row r="104" spans="1:6" x14ac:dyDescent="0.35">
      <c r="A104" s="8">
        <v>45435</v>
      </c>
      <c r="B104" s="7">
        <v>-3.2369521731223892E-2</v>
      </c>
      <c r="D104" s="6" t="str">
        <f t="shared" si="3"/>
        <v>05/23/2024</v>
      </c>
      <c r="E104" s="6" t="str">
        <f t="shared" si="4"/>
        <v>MSA1BIOH Index</v>
      </c>
      <c r="F104" s="5">
        <f t="shared" si="5"/>
        <v>-3.2369521731223892E-2</v>
      </c>
    </row>
    <row r="105" spans="1:6" x14ac:dyDescent="0.35">
      <c r="A105" s="10">
        <v>45436</v>
      </c>
      <c r="B105" s="9">
        <v>4.6983649689902345E-4</v>
      </c>
      <c r="D105" s="6" t="str">
        <f t="shared" si="3"/>
        <v>05/24/2024</v>
      </c>
      <c r="E105" s="6" t="str">
        <f t="shared" si="4"/>
        <v>MSA1BIOH Index</v>
      </c>
      <c r="F105" s="5">
        <f t="shared" si="5"/>
        <v>4.6983649689902345E-4</v>
      </c>
    </row>
    <row r="106" spans="1:6" x14ac:dyDescent="0.35">
      <c r="A106" s="8">
        <v>45440</v>
      </c>
      <c r="B106" s="7">
        <v>2.2541561003099463E-3</v>
      </c>
      <c r="D106" s="6" t="str">
        <f t="shared" si="3"/>
        <v>05/28/2024</v>
      </c>
      <c r="E106" s="6" t="str">
        <f t="shared" si="4"/>
        <v>MSA1BIOH Index</v>
      </c>
      <c r="F106" s="5">
        <f t="shared" si="5"/>
        <v>2.2541561003099463E-3</v>
      </c>
    </row>
    <row r="107" spans="1:6" x14ac:dyDescent="0.35">
      <c r="A107" s="10">
        <v>45441</v>
      </c>
      <c r="B107" s="9">
        <v>-1.8836097835254327E-2</v>
      </c>
      <c r="D107" s="6" t="str">
        <f t="shared" si="3"/>
        <v>05/29/2024</v>
      </c>
      <c r="E107" s="6" t="str">
        <f t="shared" si="4"/>
        <v>MSA1BIOH Index</v>
      </c>
      <c r="F107" s="5">
        <f t="shared" si="5"/>
        <v>-1.8836097835254327E-2</v>
      </c>
    </row>
    <row r="108" spans="1:6" x14ac:dyDescent="0.35">
      <c r="A108" s="8">
        <v>45442</v>
      </c>
      <c r="B108" s="7">
        <v>2.0630372492836672E-2</v>
      </c>
      <c r="D108" s="6" t="str">
        <f t="shared" si="3"/>
        <v>05/30/2024</v>
      </c>
      <c r="E108" s="6" t="str">
        <f t="shared" si="4"/>
        <v>MSA1BIOH Index</v>
      </c>
      <c r="F108" s="5">
        <f t="shared" si="5"/>
        <v>2.0630372492836672E-2</v>
      </c>
    </row>
    <row r="109" spans="1:6" x14ac:dyDescent="0.35">
      <c r="A109" s="10">
        <v>45443</v>
      </c>
      <c r="B109" s="9">
        <v>1.0293842410629512E-3</v>
      </c>
      <c r="D109" s="6" t="str">
        <f t="shared" si="3"/>
        <v>05/31/2024</v>
      </c>
      <c r="E109" s="6" t="str">
        <f t="shared" si="4"/>
        <v>MSA1BIOH Index</v>
      </c>
      <c r="F109" s="5">
        <f t="shared" si="5"/>
        <v>1.0293842410629512E-3</v>
      </c>
    </row>
    <row r="110" spans="1:6" x14ac:dyDescent="0.35">
      <c r="A110" s="8">
        <v>45446</v>
      </c>
      <c r="B110" s="7">
        <v>2.3651491072263373E-2</v>
      </c>
      <c r="D110" s="6" t="str">
        <f t="shared" si="3"/>
        <v>06/03/2024</v>
      </c>
      <c r="E110" s="6" t="str">
        <f t="shared" si="4"/>
        <v>MSA1BIOH Index</v>
      </c>
      <c r="F110" s="5">
        <f t="shared" si="5"/>
        <v>2.3651491072263373E-2</v>
      </c>
    </row>
    <row r="111" spans="1:6" x14ac:dyDescent="0.35">
      <c r="A111" s="10">
        <v>45447</v>
      </c>
      <c r="B111" s="9">
        <v>-5.5707762557077505E-3</v>
      </c>
      <c r="D111" s="6" t="str">
        <f t="shared" si="3"/>
        <v>06/04/2024</v>
      </c>
      <c r="E111" s="6" t="str">
        <f t="shared" si="4"/>
        <v>MSA1BIOH Index</v>
      </c>
      <c r="F111" s="5">
        <f t="shared" si="5"/>
        <v>-5.5707762557077505E-3</v>
      </c>
    </row>
    <row r="112" spans="1:6" x14ac:dyDescent="0.35">
      <c r="A112" s="8">
        <v>45448</v>
      </c>
      <c r="B112" s="7">
        <v>3.3795573514555879E-2</v>
      </c>
      <c r="D112" s="6" t="str">
        <f t="shared" si="3"/>
        <v>06/05/2024</v>
      </c>
      <c r="E112" s="6" t="str">
        <f t="shared" si="4"/>
        <v>MSA1BIOH Index</v>
      </c>
      <c r="F112" s="5">
        <f t="shared" si="5"/>
        <v>3.3795573514555879E-2</v>
      </c>
    </row>
    <row r="113" spans="1:6" x14ac:dyDescent="0.35">
      <c r="A113" s="10">
        <v>45449</v>
      </c>
      <c r="B113" s="9">
        <v>-1.8210891001154823E-2</v>
      </c>
      <c r="D113" s="6" t="str">
        <f t="shared" si="3"/>
        <v>06/06/2024</v>
      </c>
      <c r="E113" s="6" t="str">
        <f t="shared" si="4"/>
        <v>MSA1BIOH Index</v>
      </c>
      <c r="F113" s="5">
        <f t="shared" si="5"/>
        <v>-1.8210891001154823E-2</v>
      </c>
    </row>
    <row r="114" spans="1:6" x14ac:dyDescent="0.35">
      <c r="A114" s="8">
        <v>45450</v>
      </c>
      <c r="B114" s="7">
        <v>-1.565327542526234E-2</v>
      </c>
      <c r="D114" s="6" t="str">
        <f t="shared" si="3"/>
        <v>06/07/2024</v>
      </c>
      <c r="E114" s="6" t="str">
        <f t="shared" si="4"/>
        <v>MSA1BIOH Index</v>
      </c>
      <c r="F114" s="5">
        <f t="shared" si="5"/>
        <v>-1.565327542526234E-2</v>
      </c>
    </row>
    <row r="115" spans="1:6" x14ac:dyDescent="0.35">
      <c r="A115" s="10">
        <v>45453</v>
      </c>
      <c r="B115" s="9">
        <v>7.3536170603916221E-3</v>
      </c>
      <c r="D115" s="6" t="str">
        <f t="shared" si="3"/>
        <v>06/10/2024</v>
      </c>
      <c r="E115" s="6" t="str">
        <f t="shared" si="4"/>
        <v>MSA1BIOH Index</v>
      </c>
      <c r="F115" s="5">
        <f t="shared" si="5"/>
        <v>7.3536170603916221E-3</v>
      </c>
    </row>
    <row r="116" spans="1:6" x14ac:dyDescent="0.35">
      <c r="A116" s="8">
        <v>45454</v>
      </c>
      <c r="B116" s="7">
        <v>6.3874441098640588E-3</v>
      </c>
      <c r="D116" s="6" t="str">
        <f t="shared" si="3"/>
        <v>06/11/2024</v>
      </c>
      <c r="E116" s="6" t="str">
        <f t="shared" si="4"/>
        <v>MSA1BIOH Index</v>
      </c>
      <c r="F116" s="5">
        <f t="shared" si="5"/>
        <v>6.3874441098640588E-3</v>
      </c>
    </row>
    <row r="117" spans="1:6" x14ac:dyDescent="0.35">
      <c r="A117" s="10">
        <v>45455</v>
      </c>
      <c r="B117" s="9">
        <v>1.6048599147701414E-2</v>
      </c>
      <c r="D117" s="6" t="str">
        <f t="shared" si="3"/>
        <v>06/12/2024</v>
      </c>
      <c r="E117" s="6" t="str">
        <f t="shared" si="4"/>
        <v>MSA1BIOH Index</v>
      </c>
      <c r="F117" s="5">
        <f t="shared" si="5"/>
        <v>1.6048599147701414E-2</v>
      </c>
    </row>
    <row r="118" spans="1:6" x14ac:dyDescent="0.35">
      <c r="A118" s="8">
        <v>45456</v>
      </c>
      <c r="B118" s="7">
        <v>-1.5170444404782621E-3</v>
      </c>
      <c r="D118" s="6" t="str">
        <f t="shared" si="3"/>
        <v>06/13/2024</v>
      </c>
      <c r="E118" s="6" t="str">
        <f t="shared" si="4"/>
        <v>MSA1BIOH Index</v>
      </c>
      <c r="F118" s="5">
        <f t="shared" si="5"/>
        <v>-1.5170444404782621E-3</v>
      </c>
    </row>
    <row r="119" spans="1:6" x14ac:dyDescent="0.35">
      <c r="A119" s="10">
        <v>45457</v>
      </c>
      <c r="B119" s="9">
        <v>-2.6103558936481242E-2</v>
      </c>
      <c r="D119" s="6" t="str">
        <f t="shared" si="3"/>
        <v>06/14/2024</v>
      </c>
      <c r="E119" s="6" t="str">
        <f t="shared" si="4"/>
        <v>MSA1BIOH Index</v>
      </c>
      <c r="F119" s="5">
        <f t="shared" si="5"/>
        <v>-2.6103558936481242E-2</v>
      </c>
    </row>
    <row r="120" spans="1:6" x14ac:dyDescent="0.35">
      <c r="A120" s="8">
        <v>45460</v>
      </c>
      <c r="B120" s="7">
        <v>-2.2944199706314228E-2</v>
      </c>
      <c r="D120" s="6" t="str">
        <f t="shared" si="3"/>
        <v>06/17/2024</v>
      </c>
      <c r="E120" s="6" t="str">
        <f t="shared" si="4"/>
        <v>MSA1BIOH Index</v>
      </c>
      <c r="F120" s="5">
        <f t="shared" si="5"/>
        <v>-2.2944199706314228E-2</v>
      </c>
    </row>
    <row r="121" spans="1:6" x14ac:dyDescent="0.35">
      <c r="A121" s="10">
        <v>45461</v>
      </c>
      <c r="B121" s="9">
        <v>-1.4747322938192657E-2</v>
      </c>
      <c r="D121" s="6" t="str">
        <f t="shared" si="3"/>
        <v>06/18/2024</v>
      </c>
      <c r="E121" s="6" t="str">
        <f t="shared" si="4"/>
        <v>MSA1BIOH Index</v>
      </c>
      <c r="F121" s="5">
        <f t="shared" si="5"/>
        <v>-1.4747322938192657E-2</v>
      </c>
    </row>
    <row r="122" spans="1:6" x14ac:dyDescent="0.35">
      <c r="A122" s="8">
        <v>45463</v>
      </c>
      <c r="B122" s="7">
        <v>-1.2393936504910069E-3</v>
      </c>
      <c r="D122" s="6" t="str">
        <f t="shared" si="3"/>
        <v>06/20/2024</v>
      </c>
      <c r="E122" s="6" t="str">
        <f t="shared" si="4"/>
        <v>MSA1BIOH Index</v>
      </c>
      <c r="F122" s="5">
        <f t="shared" si="5"/>
        <v>-1.2393936504910069E-3</v>
      </c>
    </row>
    <row r="123" spans="1:6" x14ac:dyDescent="0.35">
      <c r="A123" s="10">
        <v>45464</v>
      </c>
      <c r="B123" s="9">
        <v>2.4054982817869497E-2</v>
      </c>
      <c r="D123" s="6" t="str">
        <f t="shared" si="3"/>
        <v>06/21/2024</v>
      </c>
      <c r="E123" s="6" t="str">
        <f t="shared" si="4"/>
        <v>MSA1BIOH Index</v>
      </c>
      <c r="F123" s="5">
        <f t="shared" si="5"/>
        <v>2.4054982817869497E-2</v>
      </c>
    </row>
    <row r="124" spans="1:6" x14ac:dyDescent="0.35">
      <c r="A124" s="8">
        <v>45467</v>
      </c>
      <c r="B124" s="7">
        <v>1.3329604772557704E-2</v>
      </c>
      <c r="D124" s="6" t="str">
        <f t="shared" si="3"/>
        <v>06/24/2024</v>
      </c>
      <c r="E124" s="6" t="str">
        <f t="shared" si="4"/>
        <v>MSA1BIOH Index</v>
      </c>
      <c r="F124" s="5">
        <f t="shared" si="5"/>
        <v>1.3329604772557704E-2</v>
      </c>
    </row>
    <row r="125" spans="1:6" x14ac:dyDescent="0.35">
      <c r="A125" s="10">
        <v>45468</v>
      </c>
      <c r="B125" s="9">
        <v>-1.1958421488363565E-2</v>
      </c>
      <c r="D125" s="6" t="str">
        <f t="shared" si="3"/>
        <v>06/25/2024</v>
      </c>
      <c r="E125" s="6" t="str">
        <f t="shared" si="4"/>
        <v>MSA1BIOH Index</v>
      </c>
      <c r="F125" s="5">
        <f t="shared" si="5"/>
        <v>-1.1958421488363565E-2</v>
      </c>
    </row>
    <row r="126" spans="1:6" x14ac:dyDescent="0.35">
      <c r="A126" s="8">
        <v>45469</v>
      </c>
      <c r="B126" s="7">
        <v>-1.6851317381994208E-2</v>
      </c>
      <c r="D126" s="6" t="str">
        <f t="shared" si="3"/>
        <v>06/26/2024</v>
      </c>
      <c r="E126" s="6" t="str">
        <f t="shared" si="4"/>
        <v>MSA1BIOH Index</v>
      </c>
      <c r="F126" s="5">
        <f t="shared" si="5"/>
        <v>-1.6851317381994208E-2</v>
      </c>
    </row>
    <row r="127" spans="1:6" x14ac:dyDescent="0.35">
      <c r="A127" s="10">
        <v>45470</v>
      </c>
      <c r="B127" s="9">
        <v>9.2803030303030085E-3</v>
      </c>
      <c r="D127" s="6" t="str">
        <f t="shared" si="3"/>
        <v>06/27/2024</v>
      </c>
      <c r="E127" s="6" t="str">
        <f t="shared" si="4"/>
        <v>MSA1BIOH Index</v>
      </c>
      <c r="F127" s="5">
        <f t="shared" si="5"/>
        <v>9.2803030303030085E-3</v>
      </c>
    </row>
    <row r="128" spans="1:6" x14ac:dyDescent="0.35">
      <c r="A128" s="8">
        <v>45471</v>
      </c>
      <c r="B128" s="7">
        <v>4.6913116907488367E-3</v>
      </c>
      <c r="D128" s="6" t="str">
        <f t="shared" si="3"/>
        <v>06/28/2024</v>
      </c>
      <c r="E128" s="6" t="str">
        <f t="shared" si="4"/>
        <v>MSA1BIOH Index</v>
      </c>
      <c r="F128" s="5">
        <f t="shared" si="5"/>
        <v>4.6913116907488367E-3</v>
      </c>
    </row>
    <row r="129" spans="1:6" x14ac:dyDescent="0.35">
      <c r="A129" s="10">
        <v>45474</v>
      </c>
      <c r="B129" s="9">
        <v>5.0429585356742881E-3</v>
      </c>
      <c r="D129" s="6" t="str">
        <f t="shared" si="3"/>
        <v>07/01/2024</v>
      </c>
      <c r="E129" s="6" t="str">
        <f t="shared" si="4"/>
        <v>MSA1BIOH Index</v>
      </c>
      <c r="F129" s="5">
        <f t="shared" si="5"/>
        <v>5.0429585356742881E-3</v>
      </c>
    </row>
    <row r="130" spans="1:6" x14ac:dyDescent="0.35">
      <c r="A130" s="8">
        <v>45475</v>
      </c>
      <c r="B130" s="7">
        <v>-2.9362572012637228E-2</v>
      </c>
      <c r="D130" s="6" t="str">
        <f t="shared" si="3"/>
        <v>07/02/2024</v>
      </c>
      <c r="E130" s="6" t="str">
        <f t="shared" si="4"/>
        <v>MSA1BIOH Index</v>
      </c>
      <c r="F130" s="5">
        <f t="shared" si="5"/>
        <v>-2.9362572012637228E-2</v>
      </c>
    </row>
    <row r="131" spans="1:6" x14ac:dyDescent="0.35">
      <c r="A131" s="10">
        <v>45476</v>
      </c>
      <c r="B131" s="9">
        <v>-7.658433850277408E-4</v>
      </c>
      <c r="D131" s="6" t="str">
        <f t="shared" ref="D131:D194" si="6">IF(A131 =  "", "",  TEXT(A131, "mm/dd/yyyy"))</f>
        <v>07/03/2024</v>
      </c>
      <c r="E131" s="6" t="str">
        <f t="shared" ref="E131:E194" si="7">IF(A131="", "", EntityLocal)</f>
        <v>MSA1BIOH Index</v>
      </c>
      <c r="F131" s="5">
        <f t="shared" ref="F131:F194" si="8">IF(B131="","", B131)</f>
        <v>-7.658433850277408E-4</v>
      </c>
    </row>
    <row r="132" spans="1:6" x14ac:dyDescent="0.35">
      <c r="A132" s="8">
        <v>45478</v>
      </c>
      <c r="B132" s="7">
        <v>1.0155202146005076E-2</v>
      </c>
      <c r="D132" s="6" t="str">
        <f t="shared" si="6"/>
        <v>07/05/2024</v>
      </c>
      <c r="E132" s="6" t="str">
        <f t="shared" si="7"/>
        <v>MSA1BIOH Index</v>
      </c>
      <c r="F132" s="5">
        <f t="shared" si="8"/>
        <v>1.0155202146005076E-2</v>
      </c>
    </row>
    <row r="133" spans="1:6" x14ac:dyDescent="0.35">
      <c r="A133" s="10">
        <v>45481</v>
      </c>
      <c r="B133" s="9">
        <v>2.5606980273141119E-2</v>
      </c>
      <c r="D133" s="6" t="str">
        <f t="shared" si="6"/>
        <v>07/08/2024</v>
      </c>
      <c r="E133" s="6" t="str">
        <f t="shared" si="7"/>
        <v>MSA1BIOH Index</v>
      </c>
      <c r="F133" s="5">
        <f t="shared" si="8"/>
        <v>2.5606980273141119E-2</v>
      </c>
    </row>
    <row r="134" spans="1:6" x14ac:dyDescent="0.35">
      <c r="A134" s="8">
        <v>45482</v>
      </c>
      <c r="B134" s="7">
        <v>3.005363417791752E-2</v>
      </c>
      <c r="D134" s="6" t="str">
        <f t="shared" si="6"/>
        <v>07/09/2024</v>
      </c>
      <c r="E134" s="6" t="str">
        <f t="shared" si="7"/>
        <v>MSA1BIOH Index</v>
      </c>
      <c r="F134" s="5">
        <f t="shared" si="8"/>
        <v>3.005363417791752E-2</v>
      </c>
    </row>
    <row r="135" spans="1:6" x14ac:dyDescent="0.35">
      <c r="A135" s="10">
        <v>45483</v>
      </c>
      <c r="B135" s="9">
        <v>1.319687584163746E-2</v>
      </c>
      <c r="D135" s="6" t="str">
        <f t="shared" si="6"/>
        <v>07/10/2024</v>
      </c>
      <c r="E135" s="6" t="str">
        <f t="shared" si="7"/>
        <v>MSA1BIOH Index</v>
      </c>
      <c r="F135" s="5">
        <f t="shared" si="8"/>
        <v>1.319687584163746E-2</v>
      </c>
    </row>
    <row r="136" spans="1:6" x14ac:dyDescent="0.35">
      <c r="A136" s="8">
        <v>45484</v>
      </c>
      <c r="B136" s="7">
        <v>5.3517632465000978E-2</v>
      </c>
      <c r="D136" s="6" t="str">
        <f t="shared" si="6"/>
        <v>07/11/2024</v>
      </c>
      <c r="E136" s="6" t="str">
        <f t="shared" si="7"/>
        <v>MSA1BIOH Index</v>
      </c>
      <c r="F136" s="5">
        <f t="shared" si="8"/>
        <v>5.3517632465000978E-2</v>
      </c>
    </row>
    <row r="137" spans="1:6" x14ac:dyDescent="0.35">
      <c r="A137" s="10">
        <v>45485</v>
      </c>
      <c r="B137" s="9">
        <v>1.9512195121951154E-2</v>
      </c>
      <c r="D137" s="6" t="str">
        <f t="shared" si="6"/>
        <v>07/12/2024</v>
      </c>
      <c r="E137" s="6" t="str">
        <f t="shared" si="7"/>
        <v>MSA1BIOH Index</v>
      </c>
      <c r="F137" s="5">
        <f t="shared" si="8"/>
        <v>1.9512195121951154E-2</v>
      </c>
    </row>
    <row r="138" spans="1:6" x14ac:dyDescent="0.35">
      <c r="A138" s="8">
        <v>45488</v>
      </c>
      <c r="B138" s="7">
        <v>2.120112192707484E-2</v>
      </c>
      <c r="D138" s="6" t="str">
        <f t="shared" si="6"/>
        <v>07/15/2024</v>
      </c>
      <c r="E138" s="6" t="str">
        <f t="shared" si="7"/>
        <v>MSA1BIOH Index</v>
      </c>
      <c r="F138" s="5">
        <f t="shared" si="8"/>
        <v>2.120112192707484E-2</v>
      </c>
    </row>
    <row r="139" spans="1:6" x14ac:dyDescent="0.35">
      <c r="A139" s="10">
        <v>45489</v>
      </c>
      <c r="B139" s="9">
        <v>3.7482833831488802E-2</v>
      </c>
      <c r="D139" s="6" t="str">
        <f t="shared" si="6"/>
        <v>07/16/2024</v>
      </c>
      <c r="E139" s="6" t="str">
        <f t="shared" si="7"/>
        <v>MSA1BIOH Index</v>
      </c>
      <c r="F139" s="5">
        <f t="shared" si="8"/>
        <v>3.7482833831488802E-2</v>
      </c>
    </row>
    <row r="140" spans="1:6" x14ac:dyDescent="0.35">
      <c r="A140" s="8">
        <v>45490</v>
      </c>
      <c r="B140" s="7">
        <v>-3.1223234446780459E-2</v>
      </c>
      <c r="D140" s="6" t="str">
        <f t="shared" si="6"/>
        <v>07/17/2024</v>
      </c>
      <c r="E140" s="6" t="str">
        <f t="shared" si="7"/>
        <v>MSA1BIOH Index</v>
      </c>
      <c r="F140" s="5">
        <f t="shared" si="8"/>
        <v>-3.1223234446780459E-2</v>
      </c>
    </row>
    <row r="141" spans="1:6" x14ac:dyDescent="0.35">
      <c r="A141" s="10">
        <v>45491</v>
      </c>
      <c r="B141" s="9">
        <v>-3.8659379520977276E-2</v>
      </c>
      <c r="D141" s="6" t="str">
        <f t="shared" si="6"/>
        <v>07/18/2024</v>
      </c>
      <c r="E141" s="6" t="str">
        <f t="shared" si="7"/>
        <v>MSA1BIOH Index</v>
      </c>
      <c r="F141" s="5">
        <f t="shared" si="8"/>
        <v>-3.8659379520977276E-2</v>
      </c>
    </row>
    <row r="142" spans="1:6" x14ac:dyDescent="0.35">
      <c r="A142" s="8">
        <v>45492</v>
      </c>
      <c r="B142" s="7">
        <v>-9.2801605216955053E-3</v>
      </c>
      <c r="D142" s="6" t="str">
        <f t="shared" si="6"/>
        <v>07/19/2024</v>
      </c>
      <c r="E142" s="6" t="str">
        <f t="shared" si="7"/>
        <v>MSA1BIOH Index</v>
      </c>
      <c r="F142" s="5">
        <f t="shared" si="8"/>
        <v>-9.2801605216955053E-3</v>
      </c>
    </row>
    <row r="143" spans="1:6" x14ac:dyDescent="0.35">
      <c r="A143" s="10">
        <v>45495</v>
      </c>
      <c r="B143" s="9">
        <v>2.8691983122362853E-2</v>
      </c>
      <c r="D143" s="6" t="str">
        <f t="shared" si="6"/>
        <v>07/22/2024</v>
      </c>
      <c r="E143" s="6" t="str">
        <f t="shared" si="7"/>
        <v>MSA1BIOH Index</v>
      </c>
      <c r="F143" s="5">
        <f t="shared" si="8"/>
        <v>2.8691983122362853E-2</v>
      </c>
    </row>
    <row r="144" spans="1:6" x14ac:dyDescent="0.35">
      <c r="A144" s="8">
        <v>45496</v>
      </c>
      <c r="B144" s="7">
        <v>2.2887612797374859E-2</v>
      </c>
      <c r="D144" s="6" t="str">
        <f t="shared" si="6"/>
        <v>07/23/2024</v>
      </c>
      <c r="E144" s="6" t="str">
        <f t="shared" si="7"/>
        <v>MSA1BIOH Index</v>
      </c>
      <c r="F144" s="5">
        <f t="shared" si="8"/>
        <v>2.2887612797374859E-2</v>
      </c>
    </row>
    <row r="145" spans="1:6" x14ac:dyDescent="0.35">
      <c r="A145" s="10">
        <v>45497</v>
      </c>
      <c r="B145" s="9">
        <v>-1.7082364263373076E-2</v>
      </c>
      <c r="D145" s="6" t="str">
        <f t="shared" si="6"/>
        <v>07/24/2024</v>
      </c>
      <c r="E145" s="6" t="str">
        <f t="shared" si="7"/>
        <v>MSA1BIOH Index</v>
      </c>
      <c r="F145" s="5">
        <f t="shared" si="8"/>
        <v>-1.7082364263373076E-2</v>
      </c>
    </row>
    <row r="146" spans="1:6" x14ac:dyDescent="0.35">
      <c r="A146" s="8">
        <v>45498</v>
      </c>
      <c r="B146" s="7">
        <v>1.9908616187989524E-2</v>
      </c>
      <c r="D146" s="6" t="str">
        <f t="shared" si="6"/>
        <v>07/25/2024</v>
      </c>
      <c r="E146" s="6" t="str">
        <f t="shared" si="7"/>
        <v>MSA1BIOH Index</v>
      </c>
      <c r="F146" s="5">
        <f t="shared" si="8"/>
        <v>1.9908616187989524E-2</v>
      </c>
    </row>
    <row r="147" spans="1:6" x14ac:dyDescent="0.35">
      <c r="A147" s="10">
        <v>45499</v>
      </c>
      <c r="B147" s="9">
        <v>1.1679999999999875E-2</v>
      </c>
      <c r="D147" s="6" t="str">
        <f t="shared" si="6"/>
        <v>07/26/2024</v>
      </c>
      <c r="E147" s="6" t="str">
        <f t="shared" si="7"/>
        <v>MSA1BIOH Index</v>
      </c>
      <c r="F147" s="5">
        <f t="shared" si="8"/>
        <v>1.1679999999999875E-2</v>
      </c>
    </row>
    <row r="148" spans="1:6" x14ac:dyDescent="0.35">
      <c r="A148" s="8">
        <v>45502</v>
      </c>
      <c r="B148" s="7">
        <v>-2.0322631662185543E-2</v>
      </c>
      <c r="D148" s="6" t="str">
        <f t="shared" si="6"/>
        <v>07/29/2024</v>
      </c>
      <c r="E148" s="6" t="str">
        <f t="shared" si="7"/>
        <v>MSA1BIOH Index</v>
      </c>
      <c r="F148" s="5">
        <f t="shared" si="8"/>
        <v>-2.0322631662185543E-2</v>
      </c>
    </row>
    <row r="149" spans="1:6" x14ac:dyDescent="0.35">
      <c r="A149" s="10">
        <v>45503</v>
      </c>
      <c r="B149" s="9">
        <v>-1.6950520623133385E-2</v>
      </c>
      <c r="D149" s="6" t="str">
        <f t="shared" si="6"/>
        <v>07/30/2024</v>
      </c>
      <c r="E149" s="6" t="str">
        <f t="shared" si="7"/>
        <v>MSA1BIOH Index</v>
      </c>
      <c r="F149" s="5">
        <f t="shared" si="8"/>
        <v>-1.6950520623133385E-2</v>
      </c>
    </row>
    <row r="150" spans="1:6" x14ac:dyDescent="0.35">
      <c r="A150" s="8">
        <v>45504</v>
      </c>
      <c r="B150" s="7">
        <v>5.3370555874864946E-3</v>
      </c>
      <c r="D150" s="6" t="str">
        <f t="shared" si="6"/>
        <v>07/31/2024</v>
      </c>
      <c r="E150" s="6" t="str">
        <f t="shared" si="7"/>
        <v>MSA1BIOH Index</v>
      </c>
      <c r="F150" s="5">
        <f t="shared" si="8"/>
        <v>5.3370555874864946E-3</v>
      </c>
    </row>
    <row r="151" spans="1:6" x14ac:dyDescent="0.35">
      <c r="A151" s="10">
        <v>45505</v>
      </c>
      <c r="B151" s="9">
        <v>-3.0708918654034478E-2</v>
      </c>
      <c r="D151" s="6" t="str">
        <f t="shared" si="6"/>
        <v>08/01/2024</v>
      </c>
      <c r="E151" s="6" t="str">
        <f t="shared" si="7"/>
        <v>MSA1BIOH Index</v>
      </c>
      <c r="F151" s="5">
        <f t="shared" si="8"/>
        <v>-3.0708918654034478E-2</v>
      </c>
    </row>
    <row r="152" spans="1:6" x14ac:dyDescent="0.35">
      <c r="A152" s="8">
        <v>45506</v>
      </c>
      <c r="B152" s="7">
        <v>-3.3535557802494155E-2</v>
      </c>
      <c r="D152" s="6" t="str">
        <f t="shared" si="6"/>
        <v>08/02/2024</v>
      </c>
      <c r="E152" s="6" t="str">
        <f t="shared" si="7"/>
        <v>MSA1BIOH Index</v>
      </c>
      <c r="F152" s="5">
        <f t="shared" si="8"/>
        <v>-3.3535557802494155E-2</v>
      </c>
    </row>
    <row r="153" spans="1:6" x14ac:dyDescent="0.35">
      <c r="A153" s="10">
        <v>45509</v>
      </c>
      <c r="B153" s="9">
        <v>-4.1673931996512627E-2</v>
      </c>
      <c r="D153" s="6" t="str">
        <f t="shared" si="6"/>
        <v>08/05/2024</v>
      </c>
      <c r="E153" s="6" t="str">
        <f t="shared" si="7"/>
        <v>MSA1BIOH Index</v>
      </c>
      <c r="F153" s="5">
        <f t="shared" si="8"/>
        <v>-4.1673931996512627E-2</v>
      </c>
    </row>
    <row r="154" spans="1:6" x14ac:dyDescent="0.35">
      <c r="A154" s="8">
        <v>45510</v>
      </c>
      <c r="B154" s="7">
        <v>1.4556040756914102E-2</v>
      </c>
      <c r="D154" s="6" t="str">
        <f t="shared" si="6"/>
        <v>08/06/2024</v>
      </c>
      <c r="E154" s="6" t="str">
        <f t="shared" si="7"/>
        <v>MSA1BIOH Index</v>
      </c>
      <c r="F154" s="5">
        <f t="shared" si="8"/>
        <v>1.4556040756914102E-2</v>
      </c>
    </row>
    <row r="155" spans="1:6" x14ac:dyDescent="0.35">
      <c r="A155" s="10">
        <v>45511</v>
      </c>
      <c r="B155" s="9">
        <v>-3.1922525107604086E-2</v>
      </c>
      <c r="D155" s="6" t="str">
        <f t="shared" si="6"/>
        <v>08/07/2024</v>
      </c>
      <c r="E155" s="6" t="str">
        <f t="shared" si="7"/>
        <v>MSA1BIOH Index</v>
      </c>
      <c r="F155" s="5">
        <f t="shared" si="8"/>
        <v>-3.1922525107604086E-2</v>
      </c>
    </row>
    <row r="156" spans="1:6" x14ac:dyDescent="0.35">
      <c r="A156" s="8">
        <v>45512</v>
      </c>
      <c r="B156" s="7">
        <v>2.2693590218599558E-2</v>
      </c>
      <c r="D156" s="6" t="str">
        <f t="shared" si="6"/>
        <v>08/08/2024</v>
      </c>
      <c r="E156" s="6" t="str">
        <f t="shared" si="7"/>
        <v>MSA1BIOH Index</v>
      </c>
      <c r="F156" s="5">
        <f t="shared" si="8"/>
        <v>2.2693590218599558E-2</v>
      </c>
    </row>
    <row r="157" spans="1:6" x14ac:dyDescent="0.35">
      <c r="A157" s="10">
        <v>45513</v>
      </c>
      <c r="B157" s="9">
        <v>-4.5285753102075081E-3</v>
      </c>
      <c r="D157" s="6" t="str">
        <f t="shared" si="6"/>
        <v>08/09/2024</v>
      </c>
      <c r="E157" s="6" t="str">
        <f t="shared" si="7"/>
        <v>MSA1BIOH Index</v>
      </c>
      <c r="F157" s="5">
        <f t="shared" si="8"/>
        <v>-4.5285753102075081E-3</v>
      </c>
    </row>
    <row r="158" spans="1:6" x14ac:dyDescent="0.35">
      <c r="A158" s="8">
        <v>45516</v>
      </c>
      <c r="B158" s="7">
        <v>6.3688472386499188E-3</v>
      </c>
      <c r="D158" s="6" t="str">
        <f t="shared" si="6"/>
        <v>08/12/2024</v>
      </c>
      <c r="E158" s="6" t="str">
        <f t="shared" si="7"/>
        <v>MSA1BIOH Index</v>
      </c>
      <c r="F158" s="5">
        <f t="shared" si="8"/>
        <v>6.3688472386499188E-3</v>
      </c>
    </row>
    <row r="159" spans="1:6" x14ac:dyDescent="0.35">
      <c r="A159" s="10">
        <v>45517</v>
      </c>
      <c r="B159" s="9">
        <v>1.7810324563782599E-2</v>
      </c>
      <c r="D159" s="6" t="str">
        <f t="shared" si="6"/>
        <v>08/13/2024</v>
      </c>
      <c r="E159" s="6" t="str">
        <f t="shared" si="7"/>
        <v>MSA1BIOH Index</v>
      </c>
      <c r="F159" s="5">
        <f t="shared" si="8"/>
        <v>1.7810324563782599E-2</v>
      </c>
    </row>
    <row r="160" spans="1:6" x14ac:dyDescent="0.35">
      <c r="A160" s="8">
        <v>45518</v>
      </c>
      <c r="B160" s="7">
        <v>-1.3057381417658526E-2</v>
      </c>
      <c r="D160" s="6" t="str">
        <f t="shared" si="6"/>
        <v>08/14/2024</v>
      </c>
      <c r="E160" s="6" t="str">
        <f t="shared" si="7"/>
        <v>MSA1BIOH Index</v>
      </c>
      <c r="F160" s="5">
        <f t="shared" si="8"/>
        <v>-1.3057381417658526E-2</v>
      </c>
    </row>
    <row r="161" spans="1:6" x14ac:dyDescent="0.35">
      <c r="A161" s="10">
        <v>45519</v>
      </c>
      <c r="B161" s="9">
        <v>2.7360273602736036E-2</v>
      </c>
      <c r="D161" s="6" t="str">
        <f t="shared" si="6"/>
        <v>08/15/2024</v>
      </c>
      <c r="E161" s="6" t="str">
        <f t="shared" si="7"/>
        <v>MSA1BIOH Index</v>
      </c>
      <c r="F161" s="5">
        <f t="shared" si="8"/>
        <v>2.7360273602736036E-2</v>
      </c>
    </row>
    <row r="162" spans="1:6" x14ac:dyDescent="0.35">
      <c r="A162" s="8">
        <v>45520</v>
      </c>
      <c r="B162" s="7">
        <v>-1.7094916339486447E-3</v>
      </c>
      <c r="D162" s="6" t="str">
        <f t="shared" si="6"/>
        <v>08/16/2024</v>
      </c>
      <c r="E162" s="6" t="str">
        <f t="shared" si="7"/>
        <v>MSA1BIOH Index</v>
      </c>
      <c r="F162" s="5">
        <f t="shared" si="8"/>
        <v>-1.7094916339486447E-3</v>
      </c>
    </row>
    <row r="163" spans="1:6" x14ac:dyDescent="0.35">
      <c r="A163" s="10">
        <v>45523</v>
      </c>
      <c r="B163" s="9">
        <v>3.2031592803861315E-2</v>
      </c>
      <c r="D163" s="6" t="str">
        <f t="shared" si="6"/>
        <v>08/19/2024</v>
      </c>
      <c r="E163" s="6" t="str">
        <f t="shared" si="7"/>
        <v>MSA1BIOH Index</v>
      </c>
      <c r="F163" s="5">
        <f t="shared" si="8"/>
        <v>3.2031592803861315E-2</v>
      </c>
    </row>
    <row r="164" spans="1:6" x14ac:dyDescent="0.35">
      <c r="A164" s="8">
        <v>45524</v>
      </c>
      <c r="B164" s="7">
        <v>-2.4659863945578056E-3</v>
      </c>
      <c r="D164" s="6" t="str">
        <f t="shared" si="6"/>
        <v>08/20/2024</v>
      </c>
      <c r="E164" s="6" t="str">
        <f t="shared" si="7"/>
        <v>MSA1BIOH Index</v>
      </c>
      <c r="F164" s="5">
        <f t="shared" si="8"/>
        <v>-2.4659863945578056E-3</v>
      </c>
    </row>
    <row r="165" spans="1:6" x14ac:dyDescent="0.35">
      <c r="A165" s="10">
        <v>45525</v>
      </c>
      <c r="B165" s="9">
        <v>1.8924217884238391E-2</v>
      </c>
      <c r="D165" s="6" t="str">
        <f t="shared" si="6"/>
        <v>08/21/2024</v>
      </c>
      <c r="E165" s="6" t="str">
        <f t="shared" si="7"/>
        <v>MSA1BIOH Index</v>
      </c>
      <c r="F165" s="5">
        <f t="shared" si="8"/>
        <v>1.8924217884238391E-2</v>
      </c>
    </row>
    <row r="166" spans="1:6" x14ac:dyDescent="0.35">
      <c r="A166" s="8">
        <v>45526</v>
      </c>
      <c r="B166" s="7">
        <v>-2.4679996653559865E-2</v>
      </c>
      <c r="D166" s="6" t="str">
        <f t="shared" si="6"/>
        <v>08/22/2024</v>
      </c>
      <c r="E166" s="6" t="str">
        <f t="shared" si="7"/>
        <v>MSA1BIOH Index</v>
      </c>
      <c r="F166" s="5">
        <f t="shared" si="8"/>
        <v>-2.4679996653559865E-2</v>
      </c>
    </row>
    <row r="167" spans="1:6" x14ac:dyDescent="0.35">
      <c r="A167" s="10">
        <v>45527</v>
      </c>
      <c r="B167" s="9">
        <v>2.5218733916623819E-2</v>
      </c>
      <c r="D167" s="6" t="str">
        <f t="shared" si="6"/>
        <v>08/23/2024</v>
      </c>
      <c r="E167" s="6" t="str">
        <f t="shared" si="7"/>
        <v>MSA1BIOH Index</v>
      </c>
      <c r="F167" s="5">
        <f t="shared" si="8"/>
        <v>2.5218733916623819E-2</v>
      </c>
    </row>
    <row r="168" spans="1:6" x14ac:dyDescent="0.35">
      <c r="A168" s="8">
        <v>45530</v>
      </c>
      <c r="B168" s="7">
        <v>1.1629852744310529E-2</v>
      </c>
      <c r="D168" s="6" t="str">
        <f t="shared" si="6"/>
        <v>08/26/2024</v>
      </c>
      <c r="E168" s="6" t="str">
        <f t="shared" si="7"/>
        <v>MSA1BIOH Index</v>
      </c>
      <c r="F168" s="5">
        <f t="shared" si="8"/>
        <v>1.1629852744310529E-2</v>
      </c>
    </row>
    <row r="169" spans="1:6" x14ac:dyDescent="0.35">
      <c r="A169" s="10">
        <v>45531</v>
      </c>
      <c r="B169" s="9">
        <v>-1.513522454718387E-2</v>
      </c>
      <c r="D169" s="6" t="str">
        <f t="shared" si="6"/>
        <v>08/27/2024</v>
      </c>
      <c r="E169" s="6" t="str">
        <f t="shared" si="7"/>
        <v>MSA1BIOH Index</v>
      </c>
      <c r="F169" s="5">
        <f t="shared" si="8"/>
        <v>-1.513522454718387E-2</v>
      </c>
    </row>
    <row r="170" spans="1:6" x14ac:dyDescent="0.35">
      <c r="A170" s="8">
        <v>45532</v>
      </c>
      <c r="B170" s="7">
        <v>-9.5733960362780774E-3</v>
      </c>
      <c r="D170" s="6" t="str">
        <f t="shared" si="6"/>
        <v>08/28/2024</v>
      </c>
      <c r="E170" s="6" t="str">
        <f t="shared" si="7"/>
        <v>MSA1BIOH Index</v>
      </c>
      <c r="F170" s="5">
        <f t="shared" si="8"/>
        <v>-9.5733960362780774E-3</v>
      </c>
    </row>
    <row r="171" spans="1:6" x14ac:dyDescent="0.35">
      <c r="A171" s="10">
        <v>45533</v>
      </c>
      <c r="B171" s="9">
        <v>4.5785992877734362E-3</v>
      </c>
      <c r="D171" s="6" t="str">
        <f t="shared" si="6"/>
        <v>08/29/2024</v>
      </c>
      <c r="E171" s="6" t="str">
        <f t="shared" si="7"/>
        <v>MSA1BIOH Index</v>
      </c>
      <c r="F171" s="5">
        <f t="shared" si="8"/>
        <v>4.5785992877734362E-3</v>
      </c>
    </row>
    <row r="172" spans="1:6" x14ac:dyDescent="0.35">
      <c r="A172" s="8">
        <v>45534</v>
      </c>
      <c r="B172" s="7">
        <v>7.2280767300374055E-3</v>
      </c>
      <c r="D172" s="6" t="str">
        <f t="shared" si="6"/>
        <v>08/30/2024</v>
      </c>
      <c r="E172" s="6" t="str">
        <f t="shared" si="7"/>
        <v>MSA1BIOH Index</v>
      </c>
      <c r="F172" s="5">
        <f t="shared" si="8"/>
        <v>7.2280767300374055E-3</v>
      </c>
    </row>
    <row r="173" spans="1:6" x14ac:dyDescent="0.35">
      <c r="A173" s="10">
        <v>45538</v>
      </c>
      <c r="B173" s="9">
        <v>-3.8716165256012784E-2</v>
      </c>
      <c r="D173" s="6" t="str">
        <f t="shared" si="6"/>
        <v>09/03/2024</v>
      </c>
      <c r="E173" s="6" t="str">
        <f t="shared" si="7"/>
        <v>MSA1BIOH Index</v>
      </c>
      <c r="F173" s="5">
        <f t="shared" si="8"/>
        <v>-3.8716165256012784E-2</v>
      </c>
    </row>
    <row r="174" spans="1:6" x14ac:dyDescent="0.35">
      <c r="A174" s="8">
        <v>45539</v>
      </c>
      <c r="B174" s="7">
        <v>6.0151686862523826E-3</v>
      </c>
      <c r="D174" s="6" t="str">
        <f t="shared" si="6"/>
        <v>09/04/2024</v>
      </c>
      <c r="E174" s="6" t="str">
        <f t="shared" si="7"/>
        <v>MSA1BIOH Index</v>
      </c>
      <c r="F174" s="5">
        <f t="shared" si="8"/>
        <v>6.0151686862523826E-3</v>
      </c>
    </row>
    <row r="175" spans="1:6" x14ac:dyDescent="0.35">
      <c r="A175" s="10">
        <v>45540</v>
      </c>
      <c r="B175" s="9">
        <v>-3.3795493934141948E-3</v>
      </c>
      <c r="D175" s="6" t="str">
        <f t="shared" si="6"/>
        <v>09/05/2024</v>
      </c>
      <c r="E175" s="6" t="str">
        <f t="shared" si="7"/>
        <v>MSA1BIOH Index</v>
      </c>
      <c r="F175" s="5">
        <f t="shared" si="8"/>
        <v>-3.3795493934141948E-3</v>
      </c>
    </row>
    <row r="176" spans="1:6" x14ac:dyDescent="0.35">
      <c r="A176" s="8">
        <v>45541</v>
      </c>
      <c r="B176" s="7">
        <v>-1.8433179723502419E-2</v>
      </c>
      <c r="D176" s="6" t="str">
        <f t="shared" si="6"/>
        <v>09/06/2024</v>
      </c>
      <c r="E176" s="6" t="str">
        <f t="shared" si="7"/>
        <v>MSA1BIOH Index</v>
      </c>
      <c r="F176" s="5">
        <f t="shared" si="8"/>
        <v>-1.8433179723502419E-2</v>
      </c>
    </row>
    <row r="177" spans="1:6" x14ac:dyDescent="0.35">
      <c r="A177" s="10">
        <v>45544</v>
      </c>
      <c r="B177" s="9">
        <v>2.7194614226237965E-2</v>
      </c>
      <c r="D177" s="6" t="str">
        <f t="shared" si="6"/>
        <v>09/09/2024</v>
      </c>
      <c r="E177" s="6" t="str">
        <f t="shared" si="7"/>
        <v>MSA1BIOH Index</v>
      </c>
      <c r="F177" s="5">
        <f t="shared" si="8"/>
        <v>2.7194614226237965E-2</v>
      </c>
    </row>
    <row r="178" spans="1:6" x14ac:dyDescent="0.35">
      <c r="A178" s="8">
        <v>45545</v>
      </c>
      <c r="B178" s="7">
        <v>1.1555708865125931E-2</v>
      </c>
      <c r="D178" s="6" t="str">
        <f t="shared" si="6"/>
        <v>09/10/2024</v>
      </c>
      <c r="E178" s="6" t="str">
        <f t="shared" si="7"/>
        <v>MSA1BIOH Index</v>
      </c>
      <c r="F178" s="5">
        <f t="shared" si="8"/>
        <v>1.1555708865125931E-2</v>
      </c>
    </row>
    <row r="179" spans="1:6" x14ac:dyDescent="0.35">
      <c r="A179" s="10">
        <v>45546</v>
      </c>
      <c r="B179" s="9">
        <v>5.1150895140664708E-4</v>
      </c>
      <c r="D179" s="6" t="str">
        <f t="shared" si="6"/>
        <v>09/11/2024</v>
      </c>
      <c r="E179" s="6" t="str">
        <f t="shared" si="7"/>
        <v>MSA1BIOH Index</v>
      </c>
      <c r="F179" s="5">
        <f t="shared" si="8"/>
        <v>5.1150895140664708E-4</v>
      </c>
    </row>
    <row r="180" spans="1:6" x14ac:dyDescent="0.35">
      <c r="A180" s="8">
        <v>45547</v>
      </c>
      <c r="B180" s="7">
        <v>-2.8970688479891195E-3</v>
      </c>
      <c r="D180" s="6" t="str">
        <f t="shared" si="6"/>
        <v>09/12/2024</v>
      </c>
      <c r="E180" s="6" t="str">
        <f t="shared" si="7"/>
        <v>MSA1BIOH Index</v>
      </c>
      <c r="F180" s="5">
        <f t="shared" si="8"/>
        <v>-2.8970688479891195E-3</v>
      </c>
    </row>
    <row r="181" spans="1:6" x14ac:dyDescent="0.35">
      <c r="A181" s="10">
        <v>45548</v>
      </c>
      <c r="B181" s="9">
        <v>3.2387626046829605E-2</v>
      </c>
      <c r="D181" s="6" t="str">
        <f t="shared" si="6"/>
        <v>09/13/2024</v>
      </c>
      <c r="E181" s="6" t="str">
        <f t="shared" si="7"/>
        <v>MSA1BIOH Index</v>
      </c>
      <c r="F181" s="5">
        <f t="shared" si="8"/>
        <v>3.2387626046829605E-2</v>
      </c>
    </row>
    <row r="182" spans="1:6" x14ac:dyDescent="0.35">
      <c r="A182" s="8">
        <v>45551</v>
      </c>
      <c r="B182" s="7">
        <v>-1.5064978064729746E-2</v>
      </c>
      <c r="D182" s="6" t="str">
        <f t="shared" si="6"/>
        <v>09/16/2024</v>
      </c>
      <c r="E182" s="6" t="str">
        <f t="shared" si="7"/>
        <v>MSA1BIOH Index</v>
      </c>
      <c r="F182" s="5">
        <f t="shared" si="8"/>
        <v>-1.5064978064729746E-2</v>
      </c>
    </row>
    <row r="183" spans="1:6" x14ac:dyDescent="0.35">
      <c r="A183" s="10">
        <v>45552</v>
      </c>
      <c r="B183" s="9">
        <v>2.6052609462980355E-3</v>
      </c>
      <c r="D183" s="6" t="str">
        <f t="shared" si="6"/>
        <v>09/17/2024</v>
      </c>
      <c r="E183" s="6" t="str">
        <f t="shared" si="7"/>
        <v>MSA1BIOH Index</v>
      </c>
      <c r="F183" s="5">
        <f t="shared" si="8"/>
        <v>2.6052609462980355E-3</v>
      </c>
    </row>
    <row r="184" spans="1:6" x14ac:dyDescent="0.35">
      <c r="A184" s="8">
        <v>45553</v>
      </c>
      <c r="B184" s="7">
        <v>1.7602682313495302E-3</v>
      </c>
      <c r="D184" s="6" t="str">
        <f t="shared" si="6"/>
        <v>09/18/2024</v>
      </c>
      <c r="E184" s="6" t="str">
        <f t="shared" si="7"/>
        <v>MSA1BIOH Index</v>
      </c>
      <c r="F184" s="5">
        <f t="shared" si="8"/>
        <v>1.7602682313495302E-3</v>
      </c>
    </row>
    <row r="185" spans="1:6" x14ac:dyDescent="0.35">
      <c r="A185" s="10">
        <v>45554</v>
      </c>
      <c r="B185" s="9">
        <v>2.267592670069455E-2</v>
      </c>
      <c r="D185" s="6" t="str">
        <f t="shared" si="6"/>
        <v>09/19/2024</v>
      </c>
      <c r="E185" s="6" t="str">
        <f t="shared" si="7"/>
        <v>MSA1BIOH Index</v>
      </c>
      <c r="F185" s="5">
        <f t="shared" si="8"/>
        <v>2.267592670069455E-2</v>
      </c>
    </row>
    <row r="186" spans="1:6" x14ac:dyDescent="0.35">
      <c r="A186" s="8">
        <v>45555</v>
      </c>
      <c r="B186" s="7">
        <v>-1.3254786450662789E-2</v>
      </c>
      <c r="D186" s="6" t="str">
        <f t="shared" si="6"/>
        <v>09/20/2024</v>
      </c>
      <c r="E186" s="6" t="str">
        <f t="shared" si="7"/>
        <v>MSA1BIOH Index</v>
      </c>
      <c r="F186" s="5">
        <f t="shared" si="8"/>
        <v>-1.3254786450662789E-2</v>
      </c>
    </row>
    <row r="187" spans="1:6" x14ac:dyDescent="0.35">
      <c r="A187" s="10">
        <v>45558</v>
      </c>
      <c r="B187" s="9">
        <v>-3.1840796019900461E-2</v>
      </c>
      <c r="D187" s="6" t="str">
        <f t="shared" si="6"/>
        <v>09/23/2024</v>
      </c>
      <c r="E187" s="6" t="str">
        <f t="shared" si="7"/>
        <v>MSA1BIOH Index</v>
      </c>
      <c r="F187" s="5">
        <f t="shared" si="8"/>
        <v>-3.1840796019900461E-2</v>
      </c>
    </row>
    <row r="188" spans="1:6" x14ac:dyDescent="0.35">
      <c r="A188" s="8">
        <v>45559</v>
      </c>
      <c r="B188" s="7">
        <v>4.6248715313463281E-3</v>
      </c>
      <c r="D188" s="6" t="str">
        <f t="shared" si="6"/>
        <v>09/24/2024</v>
      </c>
      <c r="E188" s="6" t="str">
        <f t="shared" si="7"/>
        <v>MSA1BIOH Index</v>
      </c>
      <c r="F188" s="5">
        <f t="shared" si="8"/>
        <v>4.6248715313463281E-3</v>
      </c>
    </row>
    <row r="189" spans="1:6" x14ac:dyDescent="0.35">
      <c r="A189" s="10">
        <v>45560</v>
      </c>
      <c r="B189" s="9">
        <v>-1.7050298380221651E-2</v>
      </c>
      <c r="D189" s="6" t="str">
        <f t="shared" si="6"/>
        <v>09/25/2024</v>
      </c>
      <c r="E189" s="6" t="str">
        <f t="shared" si="7"/>
        <v>MSA1BIOH Index</v>
      </c>
      <c r="F189" s="5">
        <f t="shared" si="8"/>
        <v>-1.7050298380221651E-2</v>
      </c>
    </row>
    <row r="190" spans="1:6" x14ac:dyDescent="0.35">
      <c r="A190" s="8">
        <v>45561</v>
      </c>
      <c r="B190" s="7">
        <v>6.9384215091066025E-3</v>
      </c>
      <c r="D190" s="6" t="str">
        <f t="shared" si="6"/>
        <v>09/26/2024</v>
      </c>
      <c r="E190" s="6" t="str">
        <f t="shared" si="7"/>
        <v>MSA1BIOH Index</v>
      </c>
      <c r="F190" s="5">
        <f t="shared" si="8"/>
        <v>6.9384215091066025E-3</v>
      </c>
    </row>
    <row r="191" spans="1:6" x14ac:dyDescent="0.35">
      <c r="A191" s="10">
        <v>45562</v>
      </c>
      <c r="B191" s="9">
        <v>3.273040482342874E-3</v>
      </c>
      <c r="D191" s="6" t="str">
        <f t="shared" si="6"/>
        <v>09/27/2024</v>
      </c>
      <c r="E191" s="6" t="str">
        <f t="shared" si="7"/>
        <v>MSA1BIOH Index</v>
      </c>
      <c r="F191" s="5">
        <f t="shared" si="8"/>
        <v>3.273040482342874E-3</v>
      </c>
    </row>
    <row r="192" spans="1:6" x14ac:dyDescent="0.35">
      <c r="A192" s="8">
        <v>45565</v>
      </c>
      <c r="B192" s="7">
        <v>4.7218406593406764E-3</v>
      </c>
      <c r="D192" s="6" t="str">
        <f t="shared" si="6"/>
        <v>09/30/2024</v>
      </c>
      <c r="E192" s="6" t="str">
        <f t="shared" si="7"/>
        <v>MSA1BIOH Index</v>
      </c>
      <c r="F192" s="5">
        <f t="shared" si="8"/>
        <v>4.7218406593406764E-3</v>
      </c>
    </row>
    <row r="193" spans="1:6" x14ac:dyDescent="0.35">
      <c r="A193" s="10">
        <v>45566</v>
      </c>
      <c r="B193" s="9">
        <v>-1.2219089122447256E-2</v>
      </c>
      <c r="D193" s="6" t="str">
        <f t="shared" si="6"/>
        <v>10/01/2024</v>
      </c>
      <c r="E193" s="6" t="str">
        <f t="shared" si="7"/>
        <v>MSA1BIOH Index</v>
      </c>
      <c r="F193" s="5">
        <f t="shared" si="8"/>
        <v>-1.2219089122447256E-2</v>
      </c>
    </row>
    <row r="194" spans="1:6" x14ac:dyDescent="0.35">
      <c r="A194" s="8">
        <v>45567</v>
      </c>
      <c r="B194" s="7">
        <v>2.595155709342671E-3</v>
      </c>
      <c r="D194" s="6" t="str">
        <f t="shared" si="6"/>
        <v>10/02/2024</v>
      </c>
      <c r="E194" s="6" t="str">
        <f t="shared" si="7"/>
        <v>MSA1BIOH Index</v>
      </c>
      <c r="F194" s="5">
        <f t="shared" si="8"/>
        <v>2.595155709342671E-3</v>
      </c>
    </row>
    <row r="195" spans="1:6" x14ac:dyDescent="0.35">
      <c r="A195" s="10">
        <v>45568</v>
      </c>
      <c r="B195" s="9">
        <v>-1.2251941328731766E-2</v>
      </c>
      <c r="D195" s="6" t="str">
        <f t="shared" ref="D195:D258" si="9">IF(A195 =  "", "",  TEXT(A195, "mm/dd/yyyy"))</f>
        <v>10/03/2024</v>
      </c>
      <c r="E195" s="6" t="str">
        <f t="shared" ref="E195:E258" si="10">IF(A195="", "", EntityLocal)</f>
        <v>MSA1BIOH Index</v>
      </c>
      <c r="F195" s="5">
        <f t="shared" ref="F195:F258" si="11">IF(B195="","", B195)</f>
        <v>-1.2251941328731766E-2</v>
      </c>
    </row>
    <row r="196" spans="1:6" x14ac:dyDescent="0.35">
      <c r="A196" s="8">
        <v>45569</v>
      </c>
      <c r="B196" s="7">
        <v>2.3846960167714766E-2</v>
      </c>
      <c r="D196" s="6" t="str">
        <f t="shared" si="9"/>
        <v>10/04/2024</v>
      </c>
      <c r="E196" s="6" t="str">
        <f t="shared" si="10"/>
        <v>MSA1BIOH Index</v>
      </c>
      <c r="F196" s="5">
        <f t="shared" si="11"/>
        <v>2.3846960167714766E-2</v>
      </c>
    </row>
    <row r="197" spans="1:6" x14ac:dyDescent="0.35">
      <c r="A197" s="10">
        <v>45572</v>
      </c>
      <c r="B197" s="9">
        <v>-2.3632795836532643E-2</v>
      </c>
      <c r="D197" s="6" t="str">
        <f t="shared" si="9"/>
        <v>10/07/2024</v>
      </c>
      <c r="E197" s="6" t="str">
        <f t="shared" si="10"/>
        <v>MSA1BIOH Index</v>
      </c>
      <c r="F197" s="5">
        <f t="shared" si="11"/>
        <v>-2.3632795836532643E-2</v>
      </c>
    </row>
    <row r="198" spans="1:6" x14ac:dyDescent="0.35">
      <c r="A198" s="8">
        <v>45573</v>
      </c>
      <c r="B198" s="7">
        <v>9.2624956308982823E-3</v>
      </c>
      <c r="D198" s="6" t="str">
        <f t="shared" si="9"/>
        <v>10/08/2024</v>
      </c>
      <c r="E198" s="6" t="str">
        <f t="shared" si="10"/>
        <v>MSA1BIOH Index</v>
      </c>
      <c r="F198" s="5">
        <f t="shared" si="11"/>
        <v>9.2624956308982823E-3</v>
      </c>
    </row>
    <row r="199" spans="1:6" x14ac:dyDescent="0.35">
      <c r="A199" s="10">
        <v>45574</v>
      </c>
      <c r="B199" s="9">
        <v>-8.8311688311687869E-3</v>
      </c>
      <c r="D199" s="6" t="str">
        <f t="shared" si="9"/>
        <v>10/09/2024</v>
      </c>
      <c r="E199" s="6" t="str">
        <f t="shared" si="10"/>
        <v>MSA1BIOH Index</v>
      </c>
      <c r="F199" s="5">
        <f t="shared" si="11"/>
        <v>-8.8311688311687869E-3</v>
      </c>
    </row>
    <row r="200" spans="1:6" x14ac:dyDescent="0.35">
      <c r="A200" s="8">
        <v>45575</v>
      </c>
      <c r="B200" s="7">
        <v>-9.6960167714884218E-3</v>
      </c>
      <c r="D200" s="6" t="str">
        <f t="shared" si="9"/>
        <v>10/10/2024</v>
      </c>
      <c r="E200" s="6" t="str">
        <f t="shared" si="10"/>
        <v>MSA1BIOH Index</v>
      </c>
      <c r="F200" s="5">
        <f t="shared" si="11"/>
        <v>-9.6960167714884218E-3</v>
      </c>
    </row>
    <row r="201" spans="1:6" x14ac:dyDescent="0.35">
      <c r="A201" s="10">
        <v>45576</v>
      </c>
      <c r="B201" s="9">
        <v>3.3783187792184796E-2</v>
      </c>
      <c r="D201" s="6" t="str">
        <f t="shared" si="9"/>
        <v>10/11/2024</v>
      </c>
      <c r="E201" s="6" t="str">
        <f t="shared" si="10"/>
        <v>MSA1BIOH Index</v>
      </c>
      <c r="F201" s="5">
        <f t="shared" si="11"/>
        <v>3.3783187792184796E-2</v>
      </c>
    </row>
    <row r="202" spans="1:6" x14ac:dyDescent="0.35">
      <c r="A202" s="8">
        <v>45579</v>
      </c>
      <c r="B202" s="7">
        <v>6.5699658703072166E-3</v>
      </c>
      <c r="D202" s="6" t="str">
        <f t="shared" si="9"/>
        <v>10/14/2024</v>
      </c>
      <c r="E202" s="6" t="str">
        <f t="shared" si="10"/>
        <v>MSA1BIOH Index</v>
      </c>
      <c r="F202" s="5">
        <f t="shared" si="11"/>
        <v>6.5699658703072166E-3</v>
      </c>
    </row>
    <row r="203" spans="1:6" x14ac:dyDescent="0.35">
      <c r="A203" s="10">
        <v>45580</v>
      </c>
      <c r="B203" s="9">
        <v>8.2224294312113234E-3</v>
      </c>
      <c r="D203" s="6" t="str">
        <f t="shared" si="9"/>
        <v>10/15/2024</v>
      </c>
      <c r="E203" s="6" t="str">
        <f t="shared" si="10"/>
        <v>MSA1BIOH Index</v>
      </c>
      <c r="F203" s="5">
        <f t="shared" si="11"/>
        <v>8.2224294312113234E-3</v>
      </c>
    </row>
    <row r="204" spans="1:6" x14ac:dyDescent="0.35">
      <c r="A204" s="8">
        <v>45581</v>
      </c>
      <c r="B204" s="7">
        <v>3.0183285690264051E-2</v>
      </c>
      <c r="D204" s="6" t="str">
        <f t="shared" si="9"/>
        <v>10/16/2024</v>
      </c>
      <c r="E204" s="6" t="str">
        <f t="shared" si="10"/>
        <v>MSA1BIOH Index</v>
      </c>
      <c r="F204" s="5">
        <f t="shared" si="11"/>
        <v>3.0183285690264051E-2</v>
      </c>
    </row>
    <row r="205" spans="1:6" x14ac:dyDescent="0.35">
      <c r="A205" s="10">
        <v>45582</v>
      </c>
      <c r="B205" s="9">
        <v>-1.1752223945156345E-2</v>
      </c>
      <c r="D205" s="6" t="str">
        <f t="shared" si="9"/>
        <v>10/17/2024</v>
      </c>
      <c r="E205" s="6" t="str">
        <f t="shared" si="10"/>
        <v>MSA1BIOH Index</v>
      </c>
      <c r="F205" s="5">
        <f t="shared" si="11"/>
        <v>-1.1752223945156345E-2</v>
      </c>
    </row>
    <row r="206" spans="1:6" x14ac:dyDescent="0.35">
      <c r="A206" s="8">
        <v>45583</v>
      </c>
      <c r="B206" s="7">
        <v>1.1809397968453119E-2</v>
      </c>
      <c r="D206" s="6" t="str">
        <f t="shared" si="9"/>
        <v>10/18/2024</v>
      </c>
      <c r="E206" s="6" t="str">
        <f t="shared" si="10"/>
        <v>MSA1BIOH Index</v>
      </c>
      <c r="F206" s="5">
        <f t="shared" si="11"/>
        <v>1.1809397968453119E-2</v>
      </c>
    </row>
    <row r="207" spans="1:6" x14ac:dyDescent="0.35">
      <c r="A207" s="10">
        <v>45586</v>
      </c>
      <c r="B207" s="9">
        <v>-1.305909239307854E-2</v>
      </c>
      <c r="D207" s="6" t="str">
        <f t="shared" si="9"/>
        <v>10/21/2024</v>
      </c>
      <c r="E207" s="6" t="str">
        <f t="shared" si="10"/>
        <v>MSA1BIOH Index</v>
      </c>
      <c r="F207" s="5">
        <f t="shared" si="11"/>
        <v>-1.305909239307854E-2</v>
      </c>
    </row>
    <row r="208" spans="1:6" x14ac:dyDescent="0.35">
      <c r="A208" s="8">
        <v>45587</v>
      </c>
      <c r="B208" s="7">
        <v>-1.4058881905392707E-3</v>
      </c>
      <c r="D208" s="6" t="str">
        <f t="shared" si="9"/>
        <v>10/22/2024</v>
      </c>
      <c r="E208" s="6" t="str">
        <f t="shared" si="10"/>
        <v>MSA1BIOH Index</v>
      </c>
      <c r="F208" s="5">
        <f t="shared" si="11"/>
        <v>-1.4058881905392707E-3</v>
      </c>
    </row>
    <row r="209" spans="1:6" x14ac:dyDescent="0.35">
      <c r="A209" s="10">
        <v>45588</v>
      </c>
      <c r="B209" s="9">
        <v>-1.4078674948240175E-2</v>
      </c>
      <c r="D209" s="6" t="str">
        <f t="shared" si="9"/>
        <v>10/23/2024</v>
      </c>
      <c r="E209" s="6" t="str">
        <f t="shared" si="10"/>
        <v>MSA1BIOH Index</v>
      </c>
      <c r="F209" s="5">
        <f t="shared" si="11"/>
        <v>-1.4078674948240175E-2</v>
      </c>
    </row>
    <row r="210" spans="1:6" x14ac:dyDescent="0.35">
      <c r="A210" s="8">
        <v>45589</v>
      </c>
      <c r="B210" s="7">
        <v>-3.2759344813103582E-3</v>
      </c>
      <c r="D210" s="6" t="str">
        <f t="shared" si="9"/>
        <v>10/24/2024</v>
      </c>
      <c r="E210" s="6" t="str">
        <f t="shared" si="10"/>
        <v>MSA1BIOH Index</v>
      </c>
      <c r="F210" s="5">
        <f t="shared" si="11"/>
        <v>-3.2759344813103582E-3</v>
      </c>
    </row>
    <row r="211" spans="1:6" x14ac:dyDescent="0.35">
      <c r="A211" s="10">
        <v>45590</v>
      </c>
      <c r="B211" s="9">
        <v>-4.2979942693409526E-3</v>
      </c>
      <c r="D211" s="6" t="str">
        <f t="shared" si="9"/>
        <v>10/25/2024</v>
      </c>
      <c r="E211" s="6" t="str">
        <f t="shared" si="10"/>
        <v>MSA1BIOH Index</v>
      </c>
      <c r="F211" s="5">
        <f t="shared" si="11"/>
        <v>-4.2979942693409526E-3</v>
      </c>
    </row>
    <row r="212" spans="1:6" x14ac:dyDescent="0.35">
      <c r="A212" s="8">
        <v>45593</v>
      </c>
      <c r="B212" s="7">
        <v>2.7422767668218349E-2</v>
      </c>
      <c r="D212" s="6" t="str">
        <f t="shared" si="9"/>
        <v>10/28/2024</v>
      </c>
      <c r="E212" s="6" t="str">
        <f t="shared" si="10"/>
        <v>MSA1BIOH Index</v>
      </c>
      <c r="F212" s="5">
        <f t="shared" si="11"/>
        <v>2.7422767668218349E-2</v>
      </c>
    </row>
    <row r="213" spans="1:6" x14ac:dyDescent="0.35">
      <c r="A213" s="10">
        <v>45594</v>
      </c>
      <c r="B213" s="9">
        <v>-1.6475821731604887E-4</v>
      </c>
      <c r="D213" s="6" t="str">
        <f t="shared" si="9"/>
        <v>10/29/2024</v>
      </c>
      <c r="E213" s="6" t="str">
        <f t="shared" si="10"/>
        <v>MSA1BIOH Index</v>
      </c>
      <c r="F213" s="5">
        <f t="shared" si="11"/>
        <v>-1.6475821731604887E-4</v>
      </c>
    </row>
    <row r="214" spans="1:6" x14ac:dyDescent="0.35">
      <c r="A214" s="8">
        <v>45595</v>
      </c>
      <c r="B214" s="7">
        <v>-1.3512400098871231E-2</v>
      </c>
      <c r="D214" s="6" t="str">
        <f t="shared" si="9"/>
        <v>10/30/2024</v>
      </c>
      <c r="E214" s="6" t="str">
        <f t="shared" si="10"/>
        <v>MSA1BIOH Index</v>
      </c>
      <c r="F214" s="5">
        <f t="shared" si="11"/>
        <v>-1.3512400098871231E-2</v>
      </c>
    </row>
    <row r="215" spans="1:6" x14ac:dyDescent="0.35">
      <c r="A215" s="10">
        <v>45596</v>
      </c>
      <c r="B215" s="9">
        <v>-1.9042846404409945E-2</v>
      </c>
      <c r="D215" s="6" t="str">
        <f t="shared" si="9"/>
        <v>10/31/2024</v>
      </c>
      <c r="E215" s="6" t="str">
        <f t="shared" si="10"/>
        <v>MSA1BIOH Index</v>
      </c>
      <c r="F215" s="5">
        <f t="shared" si="11"/>
        <v>-1.9042846404409945E-2</v>
      </c>
    </row>
    <row r="216" spans="1:6" x14ac:dyDescent="0.35">
      <c r="A216" s="8">
        <v>45597</v>
      </c>
      <c r="B216" s="7">
        <v>2.2562792677735134E-2</v>
      </c>
      <c r="D216" s="6" t="str">
        <f t="shared" si="9"/>
        <v>11/01/2024</v>
      </c>
      <c r="E216" s="6" t="str">
        <f t="shared" si="10"/>
        <v>MSA1BIOH Index</v>
      </c>
      <c r="F216" s="5">
        <f t="shared" si="11"/>
        <v>2.2562792677735134E-2</v>
      </c>
    </row>
    <row r="217" spans="1:6" x14ac:dyDescent="0.35">
      <c r="A217" s="10">
        <v>45600</v>
      </c>
      <c r="B217" s="9">
        <v>8.1598667776853016E-3</v>
      </c>
      <c r="D217" s="6" t="str">
        <f t="shared" si="9"/>
        <v>11/04/2024</v>
      </c>
      <c r="E217" s="6" t="str">
        <f t="shared" si="10"/>
        <v>MSA1BIOH Index</v>
      </c>
      <c r="F217" s="5">
        <f t="shared" si="11"/>
        <v>8.1598667776853016E-3</v>
      </c>
    </row>
    <row r="218" spans="1:6" x14ac:dyDescent="0.35">
      <c r="A218" s="8">
        <v>45601</v>
      </c>
      <c r="B218" s="7">
        <v>1.6022464486290057E-2</v>
      </c>
      <c r="D218" s="6" t="str">
        <f t="shared" si="9"/>
        <v>11/05/2024</v>
      </c>
      <c r="E218" s="6" t="str">
        <f t="shared" si="10"/>
        <v>MSA1BIOH Index</v>
      </c>
      <c r="F218" s="5">
        <f t="shared" si="11"/>
        <v>1.6022464486290057E-2</v>
      </c>
    </row>
    <row r="219" spans="1:6" x14ac:dyDescent="0.35">
      <c r="A219" s="10">
        <v>45602</v>
      </c>
      <c r="B219" s="9">
        <v>3.4140790115428449E-2</v>
      </c>
      <c r="D219" s="6" t="str">
        <f t="shared" si="9"/>
        <v>11/06/2024</v>
      </c>
      <c r="E219" s="6" t="str">
        <f t="shared" si="10"/>
        <v>MSA1BIOH Index</v>
      </c>
      <c r="F219" s="5">
        <f t="shared" si="11"/>
        <v>3.4140790115428449E-2</v>
      </c>
    </row>
    <row r="220" spans="1:6" x14ac:dyDescent="0.35">
      <c r="A220" s="8">
        <v>45603</v>
      </c>
      <c r="B220" s="7">
        <v>6.6813394120421353E-3</v>
      </c>
      <c r="D220" s="6" t="str">
        <f t="shared" si="9"/>
        <v>11/07/2024</v>
      </c>
      <c r="E220" s="6" t="str">
        <f t="shared" si="10"/>
        <v>MSA1BIOH Index</v>
      </c>
      <c r="F220" s="5">
        <f t="shared" si="11"/>
        <v>6.6813394120421353E-3</v>
      </c>
    </row>
    <row r="221" spans="1:6" x14ac:dyDescent="0.35">
      <c r="A221" s="10">
        <v>45604</v>
      </c>
      <c r="B221" s="9">
        <v>1.3820566877488916E-2</v>
      </c>
      <c r="D221" s="6" t="str">
        <f t="shared" si="9"/>
        <v>11/08/2024</v>
      </c>
      <c r="E221" s="6" t="str">
        <f t="shared" si="10"/>
        <v>MSA1BIOH Index</v>
      </c>
      <c r="F221" s="5">
        <f t="shared" si="11"/>
        <v>1.3820566877488916E-2</v>
      </c>
    </row>
    <row r="222" spans="1:6" x14ac:dyDescent="0.35">
      <c r="A222" s="8">
        <v>45607</v>
      </c>
      <c r="B222" s="7">
        <v>1.0320394331484926E-2</v>
      </c>
      <c r="D222" s="6" t="str">
        <f t="shared" si="9"/>
        <v>11/11/2024</v>
      </c>
      <c r="E222" s="6" t="str">
        <f t="shared" si="10"/>
        <v>MSA1BIOH Index</v>
      </c>
      <c r="F222" s="5">
        <f t="shared" si="11"/>
        <v>1.0320394331484926E-2</v>
      </c>
    </row>
    <row r="223" spans="1:6" x14ac:dyDescent="0.35">
      <c r="A223" s="10">
        <v>45608</v>
      </c>
      <c r="B223" s="9">
        <v>-3.62097880774509E-2</v>
      </c>
      <c r="D223" s="6" t="str">
        <f t="shared" si="9"/>
        <v>11/12/2024</v>
      </c>
      <c r="E223" s="6" t="str">
        <f t="shared" si="10"/>
        <v>MSA1BIOH Index</v>
      </c>
      <c r="F223" s="5">
        <f t="shared" si="11"/>
        <v>-3.62097880774509E-2</v>
      </c>
    </row>
    <row r="224" spans="1:6" x14ac:dyDescent="0.35">
      <c r="A224" s="8">
        <v>45609</v>
      </c>
      <c r="B224" s="7">
        <v>-2.0248358775606993E-2</v>
      </c>
      <c r="D224" s="6" t="str">
        <f t="shared" si="9"/>
        <v>11/13/2024</v>
      </c>
      <c r="E224" s="6" t="str">
        <f t="shared" si="10"/>
        <v>MSA1BIOH Index</v>
      </c>
      <c r="F224" s="5">
        <f t="shared" si="11"/>
        <v>-2.0248358775606993E-2</v>
      </c>
    </row>
    <row r="225" spans="1:6" x14ac:dyDescent="0.35">
      <c r="A225" s="10">
        <v>45610</v>
      </c>
      <c r="B225" s="9">
        <v>-3.4390893678856921E-2</v>
      </c>
      <c r="D225" s="6" t="str">
        <f t="shared" si="9"/>
        <v>11/14/2024</v>
      </c>
      <c r="E225" s="6" t="str">
        <f t="shared" si="10"/>
        <v>MSA1BIOH Index</v>
      </c>
      <c r="F225" s="5">
        <f t="shared" si="11"/>
        <v>-3.4390893678856921E-2</v>
      </c>
    </row>
    <row r="226" spans="1:6" x14ac:dyDescent="0.35">
      <c r="A226" s="8">
        <v>45611</v>
      </c>
      <c r="B226" s="7">
        <v>-5.789340959058193E-2</v>
      </c>
      <c r="D226" s="6" t="str">
        <f t="shared" si="9"/>
        <v>11/15/2024</v>
      </c>
      <c r="E226" s="6" t="str">
        <f t="shared" si="10"/>
        <v>MSA1BIOH Index</v>
      </c>
      <c r="F226" s="5">
        <f t="shared" si="11"/>
        <v>-5.789340959058193E-2</v>
      </c>
    </row>
    <row r="227" spans="1:6" x14ac:dyDescent="0.35">
      <c r="A227" s="10">
        <v>45614</v>
      </c>
      <c r="B227" s="9">
        <v>-1.7749378771742975E-2</v>
      </c>
      <c r="D227" s="6" t="str">
        <f t="shared" si="9"/>
        <v>11/18/2024</v>
      </c>
      <c r="E227" s="6" t="str">
        <f t="shared" si="10"/>
        <v>MSA1BIOH Index</v>
      </c>
      <c r="F227" s="5">
        <f t="shared" si="11"/>
        <v>-1.7749378771742975E-2</v>
      </c>
    </row>
    <row r="228" spans="1:6" x14ac:dyDescent="0.35">
      <c r="A228" s="8">
        <v>45615</v>
      </c>
      <c r="B228" s="7">
        <v>1.3371882905673932E-2</v>
      </c>
      <c r="D228" s="6" t="str">
        <f t="shared" si="9"/>
        <v>11/19/2024</v>
      </c>
      <c r="E228" s="6" t="str">
        <f t="shared" si="10"/>
        <v>MSA1BIOH Index</v>
      </c>
      <c r="F228" s="5">
        <f t="shared" si="11"/>
        <v>1.3371882905673932E-2</v>
      </c>
    </row>
    <row r="229" spans="1:6" x14ac:dyDescent="0.35">
      <c r="A229" s="10">
        <v>45616</v>
      </c>
      <c r="B229" s="9">
        <v>6.2410841654784652E-4</v>
      </c>
      <c r="D229" s="6" t="str">
        <f t="shared" si="9"/>
        <v>11/20/2024</v>
      </c>
      <c r="E229" s="6" t="str">
        <f t="shared" si="10"/>
        <v>MSA1BIOH Index</v>
      </c>
      <c r="F229" s="5">
        <f t="shared" si="11"/>
        <v>6.2410841654784652E-4</v>
      </c>
    </row>
    <row r="230" spans="1:6" x14ac:dyDescent="0.35">
      <c r="A230" s="8">
        <v>45617</v>
      </c>
      <c r="B230" s="7">
        <v>-1.3365410318096375E-3</v>
      </c>
      <c r="D230" s="6" t="str">
        <f t="shared" si="9"/>
        <v>11/21/2024</v>
      </c>
      <c r="E230" s="6" t="str">
        <f t="shared" si="10"/>
        <v>MSA1BIOH Index</v>
      </c>
      <c r="F230" s="5">
        <f t="shared" si="11"/>
        <v>-1.3365410318096375E-3</v>
      </c>
    </row>
    <row r="231" spans="1:6" x14ac:dyDescent="0.35">
      <c r="A231" s="10">
        <v>45618</v>
      </c>
      <c r="B231" s="9">
        <v>2.7658815132048611E-2</v>
      </c>
      <c r="D231" s="6" t="str">
        <f t="shared" si="9"/>
        <v>11/22/2024</v>
      </c>
      <c r="E231" s="6" t="str">
        <f t="shared" si="10"/>
        <v>MSA1BIOH Index</v>
      </c>
      <c r="F231" s="5">
        <f t="shared" si="11"/>
        <v>2.7658815132048611E-2</v>
      </c>
    </row>
    <row r="232" spans="1:6" x14ac:dyDescent="0.35">
      <c r="A232" s="8">
        <v>45621</v>
      </c>
      <c r="B232" s="7">
        <v>1.6756381316200657E-2</v>
      </c>
      <c r="D232" s="6" t="str">
        <f t="shared" si="9"/>
        <v>11/25/2024</v>
      </c>
      <c r="E232" s="6" t="str">
        <f t="shared" si="10"/>
        <v>MSA1BIOH Index</v>
      </c>
      <c r="F232" s="5">
        <f t="shared" si="11"/>
        <v>1.6756381316200657E-2</v>
      </c>
    </row>
    <row r="233" spans="1:6" x14ac:dyDescent="0.35">
      <c r="A233" s="10">
        <v>45622</v>
      </c>
      <c r="B233" s="9">
        <v>1.4687046366663828E-2</v>
      </c>
      <c r="D233" s="6" t="str">
        <f t="shared" si="9"/>
        <v>11/26/2024</v>
      </c>
      <c r="E233" s="6" t="str">
        <f t="shared" si="10"/>
        <v>MSA1BIOH Index</v>
      </c>
      <c r="F233" s="5">
        <f t="shared" si="11"/>
        <v>1.4687046366663828E-2</v>
      </c>
    </row>
    <row r="234" spans="1:6" x14ac:dyDescent="0.35">
      <c r="A234" s="8">
        <v>45623</v>
      </c>
      <c r="B234" s="7">
        <v>2.3310611798367284E-2</v>
      </c>
      <c r="D234" s="6" t="str">
        <f t="shared" si="9"/>
        <v>11/27/2024</v>
      </c>
      <c r="E234" s="6" t="str">
        <f t="shared" si="10"/>
        <v>MSA1BIOH Index</v>
      </c>
      <c r="F234" s="5">
        <f t="shared" si="11"/>
        <v>2.3310611798367284E-2</v>
      </c>
    </row>
    <row r="235" spans="1:6" x14ac:dyDescent="0.35">
      <c r="A235" s="10">
        <v>45624</v>
      </c>
      <c r="B235" s="9">
        <v>2.4671052631582895E-4</v>
      </c>
      <c r="D235" s="6" t="str">
        <f t="shared" si="9"/>
        <v>11/28/2024</v>
      </c>
      <c r="E235" s="6" t="str">
        <f t="shared" si="10"/>
        <v>MSA1BIOH Index</v>
      </c>
      <c r="F235" s="5">
        <f t="shared" si="11"/>
        <v>2.4671052631582895E-4</v>
      </c>
    </row>
    <row r="236" spans="1:6" x14ac:dyDescent="0.35">
      <c r="A236" s="8">
        <v>45625</v>
      </c>
      <c r="B236" s="7">
        <v>1.4481679054521558E-4</v>
      </c>
      <c r="D236" s="6" t="str">
        <f t="shared" si="9"/>
        <v>11/29/2024</v>
      </c>
      <c r="E236" s="6" t="str">
        <f t="shared" si="10"/>
        <v>MSA1BIOH Index</v>
      </c>
      <c r="F236" s="5">
        <f t="shared" si="11"/>
        <v>1.4481679054521558E-4</v>
      </c>
    </row>
    <row r="237" spans="1:6" x14ac:dyDescent="0.35">
      <c r="A237" s="10">
        <v>45628</v>
      </c>
      <c r="B237" s="9">
        <v>6.4945741532391457E-3</v>
      </c>
      <c r="D237" s="6" t="str">
        <f t="shared" si="9"/>
        <v>12/02/2024</v>
      </c>
      <c r="E237" s="6" t="str">
        <f t="shared" si="10"/>
        <v>MSA1BIOH Index</v>
      </c>
      <c r="F237" s="5">
        <f t="shared" si="11"/>
        <v>6.4945741532391457E-3</v>
      </c>
    </row>
    <row r="238" spans="1:6" x14ac:dyDescent="0.35">
      <c r="A238" s="8">
        <v>45629</v>
      </c>
      <c r="B238" s="7">
        <v>-2.6219063954913132E-2</v>
      </c>
      <c r="D238" s="6" t="str">
        <f t="shared" si="9"/>
        <v>12/03/2024</v>
      </c>
      <c r="E238" s="6" t="str">
        <f t="shared" si="10"/>
        <v>MSA1BIOH Index</v>
      </c>
      <c r="F238" s="5">
        <f t="shared" si="11"/>
        <v>-2.6219063954913132E-2</v>
      </c>
    </row>
    <row r="239" spans="1:6" x14ac:dyDescent="0.35">
      <c r="A239" s="10">
        <v>45630</v>
      </c>
      <c r="B239" s="9">
        <v>5.8714980707942871E-4</v>
      </c>
      <c r="D239" s="6" t="str">
        <f t="shared" si="9"/>
        <v>12/04/2024</v>
      </c>
      <c r="E239" s="6" t="str">
        <f t="shared" si="10"/>
        <v>MSA1BIOH Index</v>
      </c>
      <c r="F239" s="5">
        <f t="shared" si="11"/>
        <v>5.8714980707942871E-4</v>
      </c>
    </row>
    <row r="240" spans="1:6" x14ac:dyDescent="0.35">
      <c r="A240" s="8">
        <v>45631</v>
      </c>
      <c r="B240" s="7">
        <v>-2.1627965462318845E-2</v>
      </c>
      <c r="D240" s="6" t="str">
        <f t="shared" si="9"/>
        <v>12/05/2024</v>
      </c>
      <c r="E240" s="6" t="str">
        <f t="shared" si="10"/>
        <v>MSA1BIOH Index</v>
      </c>
      <c r="F240" s="5">
        <f t="shared" si="11"/>
        <v>-2.1627965462318845E-2</v>
      </c>
    </row>
    <row r="241" spans="1:6" x14ac:dyDescent="0.35">
      <c r="A241" s="10">
        <v>45632</v>
      </c>
      <c r="B241" s="9">
        <v>2.9731813897695317E-2</v>
      </c>
      <c r="D241" s="6" t="str">
        <f t="shared" si="9"/>
        <v>12/06/2024</v>
      </c>
      <c r="E241" s="6" t="str">
        <f t="shared" si="10"/>
        <v>MSA1BIOH Index</v>
      </c>
      <c r="F241" s="5">
        <f t="shared" si="11"/>
        <v>2.9731813897695317E-2</v>
      </c>
    </row>
    <row r="242" spans="1:6" x14ac:dyDescent="0.35">
      <c r="A242" s="8">
        <v>45635</v>
      </c>
      <c r="B242" s="7">
        <v>-4.6596771509402968E-3</v>
      </c>
      <c r="D242" s="6" t="str">
        <f t="shared" si="9"/>
        <v>12/09/2024</v>
      </c>
      <c r="E242" s="6" t="str">
        <f t="shared" si="10"/>
        <v>MSA1BIOH Index</v>
      </c>
      <c r="F242" s="5">
        <f t="shared" si="11"/>
        <v>-4.6596771509402968E-3</v>
      </c>
    </row>
    <row r="243" spans="1:6" x14ac:dyDescent="0.35">
      <c r="A243" s="10">
        <v>45636</v>
      </c>
      <c r="B243" s="9">
        <v>-6.1026584183246583E-3</v>
      </c>
      <c r="D243" s="6" t="str">
        <f t="shared" si="9"/>
        <v>12/10/2024</v>
      </c>
      <c r="E243" s="6" t="str">
        <f t="shared" si="10"/>
        <v>MSA1BIOH Index</v>
      </c>
      <c r="F243" s="5">
        <f t="shared" si="11"/>
        <v>-6.1026584183246583E-3</v>
      </c>
    </row>
    <row r="244" spans="1:6" x14ac:dyDescent="0.35">
      <c r="A244" s="8">
        <v>45637</v>
      </c>
      <c r="B244" s="7">
        <v>-9.8410295230886916E-3</v>
      </c>
      <c r="D244" s="6" t="str">
        <f t="shared" si="9"/>
        <v>12/11/2024</v>
      </c>
      <c r="E244" s="6" t="str">
        <f t="shared" si="10"/>
        <v>MSA1BIOH Index</v>
      </c>
      <c r="F244" s="5">
        <f t="shared" si="11"/>
        <v>-9.8410295230886916E-3</v>
      </c>
    </row>
    <row r="245" spans="1:6" x14ac:dyDescent="0.35">
      <c r="A245" s="10">
        <v>45638</v>
      </c>
      <c r="B245" s="9">
        <v>-4.077471967380214E-2</v>
      </c>
      <c r="D245" s="6" t="str">
        <f t="shared" si="9"/>
        <v>12/12/2024</v>
      </c>
      <c r="E245" s="6" t="str">
        <f t="shared" si="10"/>
        <v>MSA1BIOH Index</v>
      </c>
      <c r="F245" s="5">
        <f t="shared" si="11"/>
        <v>-4.077471967380214E-2</v>
      </c>
    </row>
    <row r="246" spans="1:6" x14ac:dyDescent="0.35">
      <c r="A246" s="8">
        <v>45639</v>
      </c>
      <c r="B246" s="7">
        <v>-1.3460857244066642E-2</v>
      </c>
      <c r="D246" s="6" t="str">
        <f t="shared" si="9"/>
        <v>12/13/2024</v>
      </c>
      <c r="E246" s="6" t="str">
        <f t="shared" si="10"/>
        <v>MSA1BIOH Index</v>
      </c>
      <c r="F246" s="5">
        <f t="shared" si="11"/>
        <v>-1.3460857244066642E-2</v>
      </c>
    </row>
    <row r="247" spans="1:6" x14ac:dyDescent="0.35">
      <c r="A247" s="10">
        <v>45642</v>
      </c>
      <c r="B247" s="9">
        <v>1.5888689407540398E-2</v>
      </c>
      <c r="D247" s="6" t="str">
        <f t="shared" si="9"/>
        <v>12/16/2024</v>
      </c>
      <c r="E247" s="6" t="str">
        <f t="shared" si="10"/>
        <v>MSA1BIOH Index</v>
      </c>
      <c r="F247" s="5">
        <f t="shared" si="11"/>
        <v>1.5888689407540398E-2</v>
      </c>
    </row>
    <row r="248" spans="1:6" x14ac:dyDescent="0.35">
      <c r="A248" s="8">
        <v>45643</v>
      </c>
      <c r="B248" s="7">
        <v>-2.9159671290978186E-3</v>
      </c>
      <c r="D248" s="6" t="str">
        <f t="shared" si="9"/>
        <v>12/17/2024</v>
      </c>
      <c r="E248" s="6" t="str">
        <f t="shared" si="10"/>
        <v>MSA1BIOH Index</v>
      </c>
      <c r="F248" s="5">
        <f t="shared" si="11"/>
        <v>-2.9159671290978186E-3</v>
      </c>
    </row>
    <row r="249" spans="1:6" x14ac:dyDescent="0.35">
      <c r="A249" s="10">
        <v>45644</v>
      </c>
      <c r="B249" s="9">
        <v>-5.9110244594115534E-2</v>
      </c>
      <c r="D249" s="6" t="str">
        <f t="shared" si="9"/>
        <v>12/18/2024</v>
      </c>
      <c r="E249" s="6" t="str">
        <f t="shared" si="10"/>
        <v>MSA1BIOH Index</v>
      </c>
      <c r="F249" s="5">
        <f t="shared" si="11"/>
        <v>-5.9110244594115534E-2</v>
      </c>
    </row>
    <row r="250" spans="1:6" x14ac:dyDescent="0.35">
      <c r="A250" s="8">
        <v>45645</v>
      </c>
      <c r="B250" s="7">
        <v>3.9559197513421877E-3</v>
      </c>
      <c r="D250" s="6" t="str">
        <f t="shared" si="9"/>
        <v>12/19/2024</v>
      </c>
      <c r="E250" s="6" t="str">
        <f t="shared" si="10"/>
        <v>MSA1BIOH Index</v>
      </c>
      <c r="F250" s="5">
        <f t="shared" si="11"/>
        <v>3.9559197513421877E-3</v>
      </c>
    </row>
    <row r="251" spans="1:6" x14ac:dyDescent="0.35">
      <c r="A251" s="10">
        <v>45646</v>
      </c>
      <c r="B251" s="9">
        <v>1.6980955061450378E-2</v>
      </c>
      <c r="D251" s="6" t="str">
        <f t="shared" si="9"/>
        <v>12/20/2024</v>
      </c>
      <c r="E251" s="6" t="str">
        <f t="shared" si="10"/>
        <v>MSA1BIOH Index</v>
      </c>
      <c r="F251" s="5">
        <f t="shared" si="11"/>
        <v>1.6980955061450378E-2</v>
      </c>
    </row>
    <row r="252" spans="1:6" x14ac:dyDescent="0.35">
      <c r="A252" s="8">
        <v>45649</v>
      </c>
      <c r="B252" s="7">
        <v>-4.6125461254616925E-4</v>
      </c>
      <c r="D252" s="6" t="str">
        <f t="shared" si="9"/>
        <v>12/23/2024</v>
      </c>
      <c r="E252" s="6" t="str">
        <f t="shared" si="10"/>
        <v>MSA1BIOH Index</v>
      </c>
      <c r="F252" s="5">
        <f t="shared" si="11"/>
        <v>-4.6125461254616925E-4</v>
      </c>
    </row>
    <row r="253" spans="1:6" x14ac:dyDescent="0.35">
      <c r="A253" s="10">
        <v>45650</v>
      </c>
      <c r="B253" s="9">
        <v>1.9381633594832881E-3</v>
      </c>
      <c r="D253" s="6" t="str">
        <f t="shared" si="9"/>
        <v>12/24/2024</v>
      </c>
      <c r="E253" s="6" t="str">
        <f t="shared" si="10"/>
        <v>MSA1BIOH Index</v>
      </c>
      <c r="F253" s="5">
        <f t="shared" si="11"/>
        <v>1.9381633594832881E-3</v>
      </c>
    </row>
    <row r="254" spans="1:6" x14ac:dyDescent="0.35">
      <c r="A254" s="8">
        <v>45652</v>
      </c>
      <c r="B254" s="7">
        <v>1.6580692704495081E-2</v>
      </c>
      <c r="D254" s="6" t="str">
        <f t="shared" si="9"/>
        <v>12/26/2024</v>
      </c>
      <c r="E254" s="6" t="str">
        <f t="shared" si="10"/>
        <v>MSA1BIOH Index</v>
      </c>
      <c r="F254" s="5">
        <f t="shared" si="11"/>
        <v>1.6580692704495081E-2</v>
      </c>
    </row>
    <row r="255" spans="1:6" x14ac:dyDescent="0.35">
      <c r="A255" s="10">
        <v>45653</v>
      </c>
      <c r="B255" s="9">
        <v>-1.7578832910474729E-2</v>
      </c>
      <c r="D255" s="6" t="str">
        <f t="shared" si="9"/>
        <v>12/27/2024</v>
      </c>
      <c r="E255" s="6" t="str">
        <f t="shared" si="10"/>
        <v>MSA1BIOH Index</v>
      </c>
      <c r="F255" s="5">
        <f t="shared" si="11"/>
        <v>-1.7578832910474729E-2</v>
      </c>
    </row>
    <row r="256" spans="1:6" x14ac:dyDescent="0.35">
      <c r="A256" s="8">
        <v>45656</v>
      </c>
      <c r="B256" s="7">
        <v>-1.9092418372994049E-2</v>
      </c>
      <c r="D256" s="6" t="str">
        <f t="shared" si="9"/>
        <v>12/30/2024</v>
      </c>
      <c r="E256" s="6" t="str">
        <f t="shared" si="10"/>
        <v>MSA1BIOH Index</v>
      </c>
      <c r="F256" s="5">
        <f t="shared" si="11"/>
        <v>-1.9092418372994049E-2</v>
      </c>
    </row>
    <row r="257" spans="1:6" x14ac:dyDescent="0.35">
      <c r="A257" s="10">
        <v>45657</v>
      </c>
      <c r="B257" s="9">
        <v>1.7865538316880463E-3</v>
      </c>
      <c r="D257" s="6" t="str">
        <f t="shared" si="9"/>
        <v>12/31/2024</v>
      </c>
      <c r="E257" s="6" t="str">
        <f t="shared" si="10"/>
        <v>MSA1BIOH Index</v>
      </c>
      <c r="F257" s="5">
        <f t="shared" si="11"/>
        <v>1.7865538316880463E-3</v>
      </c>
    </row>
    <row r="258" spans="1:6" x14ac:dyDescent="0.35">
      <c r="A258" s="8">
        <v>45659</v>
      </c>
      <c r="B258" s="7">
        <v>1.9523183780739587E-2</v>
      </c>
      <c r="D258" s="6" t="str">
        <f t="shared" si="9"/>
        <v>01/02/2025</v>
      </c>
      <c r="E258" s="6" t="str">
        <f t="shared" si="10"/>
        <v>MSA1BIOH Index</v>
      </c>
      <c r="F258" s="5">
        <f t="shared" si="11"/>
        <v>1.9523183780739587E-2</v>
      </c>
    </row>
    <row r="259" spans="1:6" x14ac:dyDescent="0.35">
      <c r="A259" s="10">
        <v>45660</v>
      </c>
      <c r="B259" s="9">
        <v>2.0162032774811274E-2</v>
      </c>
      <c r="D259" s="6" t="str">
        <f t="shared" ref="D259:D280" si="12">IF(A259 =  "", "",  TEXT(A259, "mm/dd/yyyy"))</f>
        <v>01/03/2025</v>
      </c>
      <c r="E259" s="6" t="str">
        <f t="shared" ref="E259:E280" si="13">IF(A259="", "", EntityLocal)</f>
        <v>MSA1BIOH Index</v>
      </c>
      <c r="F259" s="5">
        <f t="shared" ref="F259:F280" si="14">IF(B259="","", B259)</f>
        <v>2.0162032774811274E-2</v>
      </c>
    </row>
    <row r="260" spans="1:6" x14ac:dyDescent="0.35">
      <c r="A260" s="8">
        <v>45663</v>
      </c>
      <c r="B260" s="7">
        <v>-2.526847757422701E-3</v>
      </c>
      <c r="D260" s="6" t="str">
        <f t="shared" si="12"/>
        <v>01/06/2025</v>
      </c>
      <c r="E260" s="6" t="str">
        <f t="shared" si="13"/>
        <v>MSA1BIOH Index</v>
      </c>
      <c r="F260" s="5">
        <f t="shared" si="14"/>
        <v>-2.526847757422701E-3</v>
      </c>
    </row>
    <row r="261" spans="1:6" x14ac:dyDescent="0.35">
      <c r="A261" s="10">
        <v>45664</v>
      </c>
      <c r="B261" s="9">
        <v>1.8094634940740504E-3</v>
      </c>
      <c r="D261" s="6" t="str">
        <f t="shared" si="12"/>
        <v>01/07/2025</v>
      </c>
      <c r="E261" s="6" t="str">
        <f t="shared" si="13"/>
        <v>MSA1BIOH Index</v>
      </c>
      <c r="F261" s="5">
        <f t="shared" si="14"/>
        <v>1.8094634940740504E-3</v>
      </c>
    </row>
    <row r="262" spans="1:6" x14ac:dyDescent="0.35">
      <c r="A262" s="8">
        <v>45665</v>
      </c>
      <c r="B262" s="7">
        <v>-6.9538517113700432E-3</v>
      </c>
      <c r="D262" s="6" t="str">
        <f t="shared" si="12"/>
        <v>01/08/2025</v>
      </c>
      <c r="E262" s="6" t="str">
        <f t="shared" si="13"/>
        <v>MSA1BIOH Index</v>
      </c>
      <c r="F262" s="5">
        <f t="shared" si="14"/>
        <v>-6.9538517113700432E-3</v>
      </c>
    </row>
    <row r="263" spans="1:6" x14ac:dyDescent="0.35">
      <c r="A263" s="10">
        <v>45666</v>
      </c>
      <c r="B263" s="9">
        <v>1.8188432157152361E-4</v>
      </c>
      <c r="D263" s="6" t="str">
        <f t="shared" si="12"/>
        <v>01/09/2025</v>
      </c>
      <c r="E263" s="6" t="str">
        <f t="shared" si="13"/>
        <v>MSA1BIOH Index</v>
      </c>
      <c r="F263" s="5">
        <f t="shared" si="14"/>
        <v>1.8188432157152361E-4</v>
      </c>
    </row>
    <row r="264" spans="1:6" x14ac:dyDescent="0.35">
      <c r="A264" s="8">
        <v>45667</v>
      </c>
      <c r="B264" s="7">
        <v>-5.1554828150572843E-2</v>
      </c>
      <c r="D264" s="6" t="str">
        <f t="shared" si="12"/>
        <v>01/10/2025</v>
      </c>
      <c r="E264" s="6" t="str">
        <f t="shared" si="13"/>
        <v>MSA1BIOH Index</v>
      </c>
      <c r="F264" s="5">
        <f t="shared" si="14"/>
        <v>-5.1554828150572843E-2</v>
      </c>
    </row>
    <row r="265" spans="1:6" x14ac:dyDescent="0.35">
      <c r="A265" s="10">
        <v>45670</v>
      </c>
      <c r="B265" s="9">
        <v>-1.2175246860320158E-2</v>
      </c>
      <c r="D265" s="6" t="str">
        <f t="shared" si="12"/>
        <v>01/13/2025</v>
      </c>
      <c r="E265" s="6" t="str">
        <f t="shared" si="13"/>
        <v>MSA1BIOH Index</v>
      </c>
      <c r="F265" s="5">
        <f t="shared" si="14"/>
        <v>-1.2175246860320158E-2</v>
      </c>
    </row>
    <row r="266" spans="1:6" x14ac:dyDescent="0.35">
      <c r="A266" s="8">
        <v>45671</v>
      </c>
      <c r="B266" s="7">
        <v>-2.1447981366459676E-2</v>
      </c>
      <c r="D266" s="6" t="str">
        <f t="shared" si="12"/>
        <v>01/14/2025</v>
      </c>
      <c r="E266" s="6" t="str">
        <f t="shared" si="13"/>
        <v>MSA1BIOH Index</v>
      </c>
      <c r="F266" s="5">
        <f t="shared" si="14"/>
        <v>-2.1447981366459676E-2</v>
      </c>
    </row>
    <row r="267" spans="1:6" x14ac:dyDescent="0.35">
      <c r="A267" s="10">
        <v>45672</v>
      </c>
      <c r="B267" s="9">
        <v>2.8562927700089131E-2</v>
      </c>
      <c r="D267" s="6" t="str">
        <f t="shared" si="12"/>
        <v>01/15/2025</v>
      </c>
      <c r="E267" s="6" t="str">
        <f t="shared" si="13"/>
        <v>MSA1BIOH Index</v>
      </c>
      <c r="F267" s="5">
        <f t="shared" si="14"/>
        <v>2.8562927700089131E-2</v>
      </c>
    </row>
    <row r="268" spans="1:6" x14ac:dyDescent="0.35">
      <c r="A268" s="8">
        <v>45673</v>
      </c>
      <c r="B268" s="7">
        <v>-1.3017066820942882E-2</v>
      </c>
      <c r="D268" s="6" t="str">
        <f t="shared" si="12"/>
        <v>01/16/2025</v>
      </c>
      <c r="E268" s="6" t="str">
        <f t="shared" si="13"/>
        <v>MSA1BIOH Index</v>
      </c>
      <c r="F268" s="5">
        <f t="shared" si="14"/>
        <v>-1.3017066820942882E-2</v>
      </c>
    </row>
    <row r="269" spans="1:6" x14ac:dyDescent="0.35">
      <c r="A269" s="10">
        <v>45674</v>
      </c>
      <c r="B269" s="9">
        <v>3.223915592028137E-3</v>
      </c>
      <c r="D269" s="6" t="str">
        <f t="shared" si="12"/>
        <v>01/17/2025</v>
      </c>
      <c r="E269" s="6" t="str">
        <f t="shared" si="13"/>
        <v>MSA1BIOH Index</v>
      </c>
      <c r="F269" s="5">
        <f t="shared" si="14"/>
        <v>3.223915592028137E-3</v>
      </c>
    </row>
    <row r="270" spans="1:6" x14ac:dyDescent="0.35">
      <c r="A270" s="8">
        <v>45677</v>
      </c>
      <c r="B270" s="7">
        <v>9.738046547857896E-5</v>
      </c>
      <c r="D270" s="6" t="str">
        <f t="shared" si="12"/>
        <v>01/20/2025</v>
      </c>
      <c r="E270" s="6" t="str">
        <f t="shared" si="13"/>
        <v>MSA1BIOH Index</v>
      </c>
      <c r="F270" s="5">
        <f t="shared" si="14"/>
        <v>9.738046547857896E-5</v>
      </c>
    </row>
    <row r="271" spans="1:6" x14ac:dyDescent="0.35">
      <c r="A271" s="10">
        <v>45678</v>
      </c>
      <c r="B271" s="9">
        <v>2.5219084712755701E-2</v>
      </c>
      <c r="D271" s="6" t="str">
        <f t="shared" si="12"/>
        <v>01/21/2025</v>
      </c>
      <c r="E271" s="6" t="str">
        <f t="shared" si="13"/>
        <v>MSA1BIOH Index</v>
      </c>
      <c r="F271" s="5">
        <f t="shared" si="14"/>
        <v>2.5219084712755701E-2</v>
      </c>
    </row>
    <row r="272" spans="1:6" x14ac:dyDescent="0.35">
      <c r="A272" s="8">
        <v>45679</v>
      </c>
      <c r="B272" s="7">
        <v>1.4531294519897296E-2</v>
      </c>
      <c r="D272" s="6" t="str">
        <f t="shared" si="12"/>
        <v>01/22/2025</v>
      </c>
      <c r="E272" s="6" t="str">
        <f t="shared" si="13"/>
        <v>MSA1BIOH Index</v>
      </c>
      <c r="F272" s="5">
        <f t="shared" si="14"/>
        <v>1.4531294519897296E-2</v>
      </c>
    </row>
    <row r="273" spans="1:6" x14ac:dyDescent="0.35">
      <c r="A273" s="10">
        <v>45680</v>
      </c>
      <c r="B273" s="9">
        <v>1.7506085002808557E-2</v>
      </c>
      <c r="D273" s="6" t="str">
        <f t="shared" si="12"/>
        <v>01/23/2025</v>
      </c>
      <c r="E273" s="6" t="str">
        <f t="shared" si="13"/>
        <v>MSA1BIOH Index</v>
      </c>
      <c r="F273" s="5">
        <f t="shared" si="14"/>
        <v>1.7506085002808557E-2</v>
      </c>
    </row>
    <row r="274" spans="1:6" x14ac:dyDescent="0.35">
      <c r="A274" s="8">
        <v>45681</v>
      </c>
      <c r="B274" s="7">
        <v>-6.4403348974147543E-3</v>
      </c>
      <c r="D274" s="6" t="str">
        <f t="shared" si="12"/>
        <v>01/24/2025</v>
      </c>
      <c r="E274" s="6" t="str">
        <f t="shared" si="13"/>
        <v>MSA1BIOH Index</v>
      </c>
      <c r="F274" s="5">
        <f t="shared" si="14"/>
        <v>-6.4403348974147543E-3</v>
      </c>
    </row>
    <row r="275" spans="1:6" x14ac:dyDescent="0.35">
      <c r="A275" s="10">
        <v>45684</v>
      </c>
      <c r="B275" s="9">
        <v>1.8520233354944659E-4</v>
      </c>
      <c r="D275" s="6" t="str">
        <f t="shared" si="12"/>
        <v>01/27/2025</v>
      </c>
      <c r="E275" s="6" t="str">
        <f t="shared" si="13"/>
        <v>MSA1BIOH Index</v>
      </c>
      <c r="F275" s="5">
        <f t="shared" si="14"/>
        <v>1.8520233354944659E-4</v>
      </c>
    </row>
    <row r="276" spans="1:6" x14ac:dyDescent="0.35">
      <c r="A276" s="8">
        <v>45685</v>
      </c>
      <c r="B276" s="7">
        <v>-1.9442644199611154E-3</v>
      </c>
      <c r="D276" s="6" t="str">
        <f t="shared" si="12"/>
        <v>01/28/2025</v>
      </c>
      <c r="E276" s="6" t="str">
        <f t="shared" si="13"/>
        <v>MSA1BIOH Index</v>
      </c>
      <c r="F276" s="5">
        <f t="shared" si="14"/>
        <v>-1.9442644199611154E-3</v>
      </c>
    </row>
    <row r="277" spans="1:6" x14ac:dyDescent="0.35">
      <c r="A277" s="10">
        <v>45686</v>
      </c>
      <c r="B277" s="9">
        <v>-2.7829313543599266E-3</v>
      </c>
      <c r="D277" s="6" t="str">
        <f t="shared" si="12"/>
        <v>01/29/2025</v>
      </c>
      <c r="E277" s="6" t="str">
        <f t="shared" si="13"/>
        <v>MSA1BIOH Index</v>
      </c>
      <c r="F277" s="5">
        <f t="shared" si="14"/>
        <v>-2.7829313543599266E-3</v>
      </c>
    </row>
    <row r="278" spans="1:6" x14ac:dyDescent="0.35">
      <c r="A278" s="8">
        <v>45687</v>
      </c>
      <c r="B278" s="7">
        <v>1.525581395348842E-2</v>
      </c>
      <c r="D278" s="6" t="str">
        <f t="shared" si="12"/>
        <v>01/30/2025</v>
      </c>
      <c r="E278" s="6" t="str">
        <f t="shared" si="13"/>
        <v>MSA1BIOH Index</v>
      </c>
      <c r="F278" s="5">
        <f t="shared" si="14"/>
        <v>1.525581395348842E-2</v>
      </c>
    </row>
    <row r="279" spans="1:6" x14ac:dyDescent="0.35">
      <c r="A279" s="10">
        <v>45688</v>
      </c>
      <c r="B279" s="9">
        <v>-1.191130657870621E-2</v>
      </c>
      <c r="D279" s="6" t="str">
        <f t="shared" si="12"/>
        <v>01/31/2025</v>
      </c>
      <c r="E279" s="6" t="str">
        <f t="shared" si="13"/>
        <v>MSA1BIOH Index</v>
      </c>
      <c r="F279" s="5">
        <f t="shared" si="14"/>
        <v>-1.191130657870621E-2</v>
      </c>
    </row>
    <row r="280" spans="1:6" x14ac:dyDescent="0.35">
      <c r="A280" s="8">
        <v>45691</v>
      </c>
      <c r="B280" s="7">
        <v>-2.1420623145400601E-2</v>
      </c>
      <c r="D280" s="6" t="str">
        <f t="shared" si="12"/>
        <v>02/03/2025</v>
      </c>
      <c r="E280" s="6" t="str">
        <f t="shared" si="13"/>
        <v>MSA1BIOH Index</v>
      </c>
      <c r="F280" s="5">
        <f t="shared" si="14"/>
        <v>-2.1420623145400601E-2</v>
      </c>
    </row>
    <row r="281" spans="1:6" x14ac:dyDescent="0.35">
      <c r="A281" s="10">
        <v>45692</v>
      </c>
      <c r="B281" s="9">
        <v>2.3879465554818406E-2</v>
      </c>
      <c r="D281" s="6" t="str">
        <f t="shared" ref="D281:D285" si="15">IF(A281 =  "", "",  TEXT(A281, "mm/dd/yyyy"))</f>
        <v>02/04/2025</v>
      </c>
      <c r="E281" s="6" t="str">
        <f t="shared" ref="E281:E285" si="16">IF(A281="", "", EntityLocal)</f>
        <v>MSA1BIOH Index</v>
      </c>
      <c r="F281" s="5">
        <f t="shared" ref="F281:F285" si="17">IF(B281="","", B281)</f>
        <v>2.3879465554818406E-2</v>
      </c>
    </row>
    <row r="282" spans="1:6" x14ac:dyDescent="0.35">
      <c r="A282" s="8">
        <v>45693</v>
      </c>
      <c r="B282" s="7">
        <v>3.2484960666358309E-2</v>
      </c>
      <c r="D282" s="6" t="str">
        <f t="shared" si="15"/>
        <v>02/05/2025</v>
      </c>
      <c r="E282" s="6" t="str">
        <f t="shared" si="16"/>
        <v>MSA1BIOH Index</v>
      </c>
      <c r="F282" s="5">
        <f t="shared" si="17"/>
        <v>3.2484960666358309E-2</v>
      </c>
    </row>
    <row r="283" spans="1:6" x14ac:dyDescent="0.35">
      <c r="A283" s="10">
        <v>45694</v>
      </c>
      <c r="B283" s="9">
        <v>-1.4879885263535406E-2</v>
      </c>
      <c r="D283" s="6" t="str">
        <f t="shared" si="15"/>
        <v>02/06/2025</v>
      </c>
      <c r="E283" s="6" t="str">
        <f t="shared" si="16"/>
        <v>MSA1BIOH Index</v>
      </c>
      <c r="F283" s="5">
        <f t="shared" si="17"/>
        <v>-1.4879885263535406E-2</v>
      </c>
    </row>
    <row r="284" spans="1:6" x14ac:dyDescent="0.35">
      <c r="A284" s="8">
        <v>45695</v>
      </c>
      <c r="B284" s="7">
        <v>-3.0937215650591418E-2</v>
      </c>
      <c r="D284" s="6" t="str">
        <f t="shared" si="15"/>
        <v>02/07/2025</v>
      </c>
      <c r="E284" s="6" t="str">
        <f t="shared" si="16"/>
        <v>MSA1BIOH Index</v>
      </c>
      <c r="F284" s="5">
        <f t="shared" si="17"/>
        <v>-3.0937215650591418E-2</v>
      </c>
    </row>
    <row r="285" spans="1:6" x14ac:dyDescent="0.35">
      <c r="A285" s="10"/>
      <c r="B285" s="9"/>
      <c r="D285" s="6" t="str">
        <f t="shared" si="15"/>
        <v/>
      </c>
      <c r="E285" s="6" t="str">
        <f t="shared" si="16"/>
        <v/>
      </c>
      <c r="F285" s="5" t="str">
        <f t="shared" si="17"/>
        <v/>
      </c>
    </row>
    <row r="286" spans="1:6" x14ac:dyDescent="0.35">
      <c r="A286" s="8"/>
      <c r="B286" s="7"/>
      <c r="D286" s="6"/>
      <c r="E286" s="6"/>
      <c r="F286" s="5"/>
    </row>
    <row r="287" spans="1:6" x14ac:dyDescent="0.35">
      <c r="A287" s="10"/>
      <c r="B287" s="9"/>
      <c r="D287" s="6"/>
      <c r="E287" s="6"/>
      <c r="F287" s="5"/>
    </row>
    <row r="288" spans="1:6" x14ac:dyDescent="0.35">
      <c r="A288" s="8"/>
      <c r="B288" s="7"/>
      <c r="D288" s="6"/>
      <c r="E288" s="6"/>
      <c r="F288" s="5"/>
    </row>
    <row r="289" spans="1:6" x14ac:dyDescent="0.35">
      <c r="A289" s="10"/>
      <c r="B289" s="9"/>
      <c r="D289" s="6"/>
      <c r="E289" s="6"/>
      <c r="F289" s="5"/>
    </row>
    <row r="290" spans="1:6" x14ac:dyDescent="0.35">
      <c r="A290" s="8"/>
      <c r="B290" s="7"/>
      <c r="D290" s="6"/>
      <c r="E290" s="6"/>
      <c r="F290" s="5"/>
    </row>
    <row r="291" spans="1:6" x14ac:dyDescent="0.35">
      <c r="A291" s="10"/>
      <c r="B291" s="9"/>
      <c r="D291" s="6"/>
      <c r="E291" s="6"/>
      <c r="F291" s="5"/>
    </row>
    <row r="292" spans="1:6" x14ac:dyDescent="0.35">
      <c r="A292" s="8"/>
      <c r="B292" s="7"/>
      <c r="D292" s="6"/>
      <c r="E292" s="6"/>
      <c r="F292" s="5"/>
    </row>
    <row r="293" spans="1:6" x14ac:dyDescent="0.35">
      <c r="A293" s="10"/>
      <c r="B293" s="9"/>
      <c r="D293" s="6"/>
      <c r="E293" s="6"/>
      <c r="F293" s="5"/>
    </row>
    <row r="294" spans="1:6" x14ac:dyDescent="0.35">
      <c r="A294" s="8"/>
      <c r="B294" s="7"/>
      <c r="D294" s="6"/>
      <c r="E294" s="6"/>
      <c r="F294" s="5"/>
    </row>
    <row r="295" spans="1:6" x14ac:dyDescent="0.35">
      <c r="A295" s="10"/>
      <c r="B295" s="9"/>
      <c r="D295" s="6"/>
      <c r="E295" s="6"/>
      <c r="F295" s="5"/>
    </row>
    <row r="296" spans="1:6" x14ac:dyDescent="0.35">
      <c r="A296" s="8"/>
      <c r="B296" s="7"/>
      <c r="D296" s="6"/>
      <c r="E296" s="6"/>
      <c r="F296" s="5"/>
    </row>
    <row r="297" spans="1:6" x14ac:dyDescent="0.35">
      <c r="A297" s="10"/>
      <c r="B297" s="9"/>
      <c r="D297" s="6"/>
      <c r="E297" s="6"/>
      <c r="F297" s="5"/>
    </row>
    <row r="298" spans="1:6" x14ac:dyDescent="0.35">
      <c r="A298" s="8"/>
      <c r="B298" s="7"/>
      <c r="D298" s="6"/>
      <c r="E298" s="6"/>
      <c r="F298" s="5"/>
    </row>
    <row r="299" spans="1:6" x14ac:dyDescent="0.35">
      <c r="A299" s="10"/>
      <c r="B299" s="9"/>
      <c r="D299" s="6"/>
      <c r="E299" s="6"/>
      <c r="F299" s="5"/>
    </row>
    <row r="300" spans="1:6" x14ac:dyDescent="0.35">
      <c r="A300" s="8"/>
      <c r="B300" s="7"/>
      <c r="D300" s="6"/>
      <c r="E300" s="6"/>
      <c r="F300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BB78-F4CD-4EFB-B53E-64F632BA9850}">
  <sheetPr codeName="Sheet6"/>
  <dimension ref="A1:F600"/>
  <sheetViews>
    <sheetView showGridLines="0" zoomScale="91" zoomScaleNormal="91" workbookViewId="0">
      <pane xSplit="2" ySplit="2" topLeftCell="C232" activePane="bottomRight" state="frozen"/>
      <selection activeCell="B2" sqref="B2"/>
      <selection pane="topRight" activeCell="B2" sqref="B2"/>
      <selection pane="bottomLeft" activeCell="B2" sqref="B2"/>
      <selection pane="bottomRight" activeCell="A279" sqref="A279"/>
    </sheetView>
  </sheetViews>
  <sheetFormatPr defaultRowHeight="14.5" x14ac:dyDescent="0.35"/>
  <cols>
    <col min="1" max="1" width="17.7265625" style="4" customWidth="1"/>
    <col min="2" max="2" width="17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_xll.BQL(EntityLocal, "dropna(day_to_day_tot_return_gross_dvds(dates=range(2024-01-01, 2025-12-31)))","cols=2;rows=279")</f>
        <v/>
      </c>
      <c r="B1" s="18" t="s">
        <v>9</v>
      </c>
    </row>
    <row r="2" spans="1:6" x14ac:dyDescent="0.35">
      <c r="A2" s="17" t="s">
        <v>3</v>
      </c>
      <c r="B2" s="16" t="s">
        <v>13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45293</v>
      </c>
      <c r="B3" s="11">
        <v>-5.9289522196203362E-3</v>
      </c>
      <c r="D3" s="6" t="str">
        <f t="shared" ref="D3:D66" si="0">IF(A3 =  "", "",  TEXT(A3, "mm/dd/yyyy"))</f>
        <v>01/02/2024</v>
      </c>
      <c r="E3" s="6" t="str">
        <f t="shared" ref="E3:E66" si="1">IF(A3="", "", EntityLocal)</f>
        <v>IWM US Index</v>
      </c>
      <c r="F3" s="5">
        <f t="shared" ref="F3:F66" si="2">IF(B3="","", B3)</f>
        <v>-5.9289522196203362E-3</v>
      </c>
    </row>
    <row r="4" spans="1:6" x14ac:dyDescent="0.35">
      <c r="A4" s="8">
        <v>45294</v>
      </c>
      <c r="B4" s="7">
        <v>-2.6663993584603154E-2</v>
      </c>
      <c r="D4" s="6" t="str">
        <f t="shared" si="0"/>
        <v>01/03/2024</v>
      </c>
      <c r="E4" s="6" t="str">
        <f t="shared" si="1"/>
        <v>IWM US Index</v>
      </c>
      <c r="F4" s="5">
        <f t="shared" si="2"/>
        <v>-2.6663993584603154E-2</v>
      </c>
    </row>
    <row r="5" spans="1:6" x14ac:dyDescent="0.35">
      <c r="A5" s="10">
        <v>45295</v>
      </c>
      <c r="B5" s="9">
        <v>-1.9567456230689777E-3</v>
      </c>
      <c r="D5" s="6" t="str">
        <f t="shared" si="0"/>
        <v>01/04/2024</v>
      </c>
      <c r="E5" s="6" t="str">
        <f t="shared" si="1"/>
        <v>IWM US Index</v>
      </c>
      <c r="F5" s="5">
        <f t="shared" si="2"/>
        <v>-1.9567456230689777E-3</v>
      </c>
    </row>
    <row r="6" spans="1:6" x14ac:dyDescent="0.35">
      <c r="A6" s="8">
        <v>45296</v>
      </c>
      <c r="B6" s="7">
        <v>-2.9408729749251534E-3</v>
      </c>
      <c r="D6" s="6" t="str">
        <f t="shared" si="0"/>
        <v>01/05/2024</v>
      </c>
      <c r="E6" s="6" t="str">
        <f t="shared" si="1"/>
        <v>IWM US Index</v>
      </c>
      <c r="F6" s="5">
        <f t="shared" si="2"/>
        <v>-2.9408729749251534E-3</v>
      </c>
    </row>
    <row r="7" spans="1:6" x14ac:dyDescent="0.35">
      <c r="A7" s="10">
        <v>45299</v>
      </c>
      <c r="B7" s="9">
        <v>1.800776196636476E-2</v>
      </c>
      <c r="D7" s="6" t="str">
        <f t="shared" si="0"/>
        <v>01/08/2024</v>
      </c>
      <c r="E7" s="6" t="str">
        <f t="shared" si="1"/>
        <v>IWM US Index</v>
      </c>
      <c r="F7" s="5">
        <f t="shared" si="2"/>
        <v>1.800776196636476E-2</v>
      </c>
    </row>
    <row r="8" spans="1:6" x14ac:dyDescent="0.35">
      <c r="A8" s="8">
        <v>45300</v>
      </c>
      <c r="B8" s="7">
        <v>-8.9462715396736187E-3</v>
      </c>
      <c r="D8" s="6" t="str">
        <f t="shared" si="0"/>
        <v>01/09/2024</v>
      </c>
      <c r="E8" s="6" t="str">
        <f t="shared" si="1"/>
        <v>IWM US Index</v>
      </c>
      <c r="F8" s="5">
        <f t="shared" si="2"/>
        <v>-8.9462715396736187E-3</v>
      </c>
    </row>
    <row r="9" spans="1:6" x14ac:dyDescent="0.35">
      <c r="A9" s="10">
        <v>45301</v>
      </c>
      <c r="B9" s="9">
        <v>5.6418936246609044E-4</v>
      </c>
      <c r="D9" s="6" t="str">
        <f t="shared" si="0"/>
        <v>01/10/2024</v>
      </c>
      <c r="E9" s="6" t="str">
        <f t="shared" si="1"/>
        <v>IWM US Index</v>
      </c>
      <c r="F9" s="5">
        <f t="shared" si="2"/>
        <v>5.6418936246609044E-4</v>
      </c>
    </row>
    <row r="10" spans="1:6" x14ac:dyDescent="0.35">
      <c r="A10" s="8">
        <v>45302</v>
      </c>
      <c r="B10" s="7">
        <v>-7.8429362312897322E-3</v>
      </c>
      <c r="D10" s="6" t="str">
        <f t="shared" si="0"/>
        <v>01/11/2024</v>
      </c>
      <c r="E10" s="6" t="str">
        <f t="shared" si="1"/>
        <v>IWM US Index</v>
      </c>
      <c r="F10" s="5">
        <f t="shared" si="2"/>
        <v>-7.8429362312897322E-3</v>
      </c>
    </row>
    <row r="11" spans="1:6" x14ac:dyDescent="0.35">
      <c r="A11" s="10">
        <v>45303</v>
      </c>
      <c r="B11" s="9">
        <v>-1.6533195556704809E-3</v>
      </c>
      <c r="D11" s="6" t="str">
        <f t="shared" si="0"/>
        <v>01/12/2024</v>
      </c>
      <c r="E11" s="6" t="str">
        <f t="shared" si="1"/>
        <v>IWM US Index</v>
      </c>
      <c r="F11" s="5">
        <f t="shared" si="2"/>
        <v>-1.6533195556704809E-3</v>
      </c>
    </row>
    <row r="12" spans="1:6" x14ac:dyDescent="0.35">
      <c r="A12" s="8">
        <v>45307</v>
      </c>
      <c r="B12" s="7">
        <v>-1.2368679811623385E-2</v>
      </c>
      <c r="D12" s="6" t="str">
        <f t="shared" si="0"/>
        <v>01/16/2024</v>
      </c>
      <c r="E12" s="6" t="str">
        <f t="shared" si="1"/>
        <v>IWM US Index</v>
      </c>
      <c r="F12" s="5">
        <f t="shared" si="2"/>
        <v>-1.2368679811623385E-2</v>
      </c>
    </row>
    <row r="13" spans="1:6" x14ac:dyDescent="0.35">
      <c r="A13" s="10">
        <v>45308</v>
      </c>
      <c r="B13" s="9">
        <v>-7.1263885977783147E-3</v>
      </c>
      <c r="D13" s="6" t="str">
        <f t="shared" si="0"/>
        <v>01/17/2024</v>
      </c>
      <c r="E13" s="6" t="str">
        <f t="shared" si="1"/>
        <v>IWM US Index</v>
      </c>
      <c r="F13" s="5">
        <f t="shared" si="2"/>
        <v>-7.1263885977783147E-3</v>
      </c>
    </row>
    <row r="14" spans="1:6" x14ac:dyDescent="0.35">
      <c r="A14" s="8">
        <v>45309</v>
      </c>
      <c r="B14" s="7">
        <v>5.9109140806417803E-3</v>
      </c>
      <c r="D14" s="6" t="str">
        <f t="shared" si="0"/>
        <v>01/18/2024</v>
      </c>
      <c r="E14" s="6" t="str">
        <f t="shared" si="1"/>
        <v>IWM US Index</v>
      </c>
      <c r="F14" s="5">
        <f t="shared" si="2"/>
        <v>5.9109140806417803E-3</v>
      </c>
    </row>
    <row r="15" spans="1:6" x14ac:dyDescent="0.35">
      <c r="A15" s="10">
        <v>45310</v>
      </c>
      <c r="B15" s="9">
        <v>9.6012591815320698E-3</v>
      </c>
      <c r="D15" s="6" t="str">
        <f t="shared" si="0"/>
        <v>01/19/2024</v>
      </c>
      <c r="E15" s="6" t="str">
        <f t="shared" si="1"/>
        <v>IWM US Index</v>
      </c>
      <c r="F15" s="5">
        <f t="shared" si="2"/>
        <v>9.6012591815320698E-3</v>
      </c>
    </row>
    <row r="16" spans="1:6" x14ac:dyDescent="0.35">
      <c r="A16" s="8">
        <v>45313</v>
      </c>
      <c r="B16" s="7">
        <v>2.1358416047393781E-2</v>
      </c>
      <c r="D16" s="6" t="str">
        <f t="shared" si="0"/>
        <v>01/22/2024</v>
      </c>
      <c r="E16" s="6" t="str">
        <f t="shared" si="1"/>
        <v>IWM US Index</v>
      </c>
      <c r="F16" s="5">
        <f t="shared" si="2"/>
        <v>2.1358416047393781E-2</v>
      </c>
    </row>
    <row r="17" spans="1:6" x14ac:dyDescent="0.35">
      <c r="A17" s="10">
        <v>45314</v>
      </c>
      <c r="B17" s="9">
        <v>-2.9001729927749732E-3</v>
      </c>
      <c r="D17" s="6" t="str">
        <f t="shared" si="0"/>
        <v>01/23/2024</v>
      </c>
      <c r="E17" s="6" t="str">
        <f t="shared" si="1"/>
        <v>IWM US Index</v>
      </c>
      <c r="F17" s="5">
        <f t="shared" si="2"/>
        <v>-2.9001729927749732E-3</v>
      </c>
    </row>
    <row r="18" spans="1:6" x14ac:dyDescent="0.35">
      <c r="A18" s="8">
        <v>45315</v>
      </c>
      <c r="B18" s="7">
        <v>-8.2155431953869745E-3</v>
      </c>
      <c r="D18" s="6" t="str">
        <f t="shared" si="0"/>
        <v>01/24/2024</v>
      </c>
      <c r="E18" s="6" t="str">
        <f t="shared" si="1"/>
        <v>IWM US Index</v>
      </c>
      <c r="F18" s="5">
        <f t="shared" si="2"/>
        <v>-8.2155431953869745E-3</v>
      </c>
    </row>
    <row r="19" spans="1:6" x14ac:dyDescent="0.35">
      <c r="A19" s="10">
        <v>45316</v>
      </c>
      <c r="B19" s="9">
        <v>8.2835974480344986E-3</v>
      </c>
      <c r="D19" s="6" t="str">
        <f t="shared" si="0"/>
        <v>01/25/2024</v>
      </c>
      <c r="E19" s="6" t="str">
        <f t="shared" si="1"/>
        <v>IWM US Index</v>
      </c>
      <c r="F19" s="5">
        <f t="shared" si="2"/>
        <v>8.2835974480344986E-3</v>
      </c>
    </row>
    <row r="20" spans="1:6" x14ac:dyDescent="0.35">
      <c r="A20" s="8">
        <v>45317</v>
      </c>
      <c r="B20" s="7">
        <v>5.1028218604842094E-5</v>
      </c>
      <c r="D20" s="6" t="str">
        <f t="shared" si="0"/>
        <v>01/26/2024</v>
      </c>
      <c r="E20" s="6" t="str">
        <f t="shared" si="1"/>
        <v>IWM US Index</v>
      </c>
      <c r="F20" s="5">
        <f t="shared" si="2"/>
        <v>5.1028218604842094E-5</v>
      </c>
    </row>
    <row r="21" spans="1:6" x14ac:dyDescent="0.35">
      <c r="A21" s="10">
        <v>45320</v>
      </c>
      <c r="B21" s="9">
        <v>1.750178589652009E-2</v>
      </c>
      <c r="D21" s="6" t="str">
        <f t="shared" si="0"/>
        <v>01/29/2024</v>
      </c>
      <c r="E21" s="6" t="str">
        <f t="shared" si="1"/>
        <v>IWM US Index</v>
      </c>
      <c r="F21" s="5">
        <f t="shared" si="2"/>
        <v>1.750178589652009E-2</v>
      </c>
    </row>
    <row r="22" spans="1:6" x14ac:dyDescent="0.35">
      <c r="A22" s="8">
        <v>45321</v>
      </c>
      <c r="B22" s="7">
        <v>-8.5251491901107701E-3</v>
      </c>
      <c r="D22" s="6" t="str">
        <f t="shared" si="0"/>
        <v>01/30/2024</v>
      </c>
      <c r="E22" s="6" t="str">
        <f t="shared" si="1"/>
        <v>IWM US Index</v>
      </c>
      <c r="F22" s="5">
        <f t="shared" si="2"/>
        <v>-8.5251491901107701E-3</v>
      </c>
    </row>
    <row r="23" spans="1:6" x14ac:dyDescent="0.35">
      <c r="A23" s="10">
        <v>45322</v>
      </c>
      <c r="B23" s="9">
        <v>-2.4429720297405352E-2</v>
      </c>
      <c r="D23" s="6" t="str">
        <f t="shared" si="0"/>
        <v>01/31/2024</v>
      </c>
      <c r="E23" s="6" t="str">
        <f t="shared" si="1"/>
        <v>IWM US Index</v>
      </c>
      <c r="F23" s="5">
        <f t="shared" si="2"/>
        <v>-2.4429720297405352E-2</v>
      </c>
    </row>
    <row r="24" spans="1:6" x14ac:dyDescent="0.35">
      <c r="A24" s="8">
        <v>45323</v>
      </c>
      <c r="B24" s="7">
        <v>1.3272501036914155E-2</v>
      </c>
      <c r="D24" s="6" t="str">
        <f t="shared" si="0"/>
        <v>02/01/2024</v>
      </c>
      <c r="E24" s="6" t="str">
        <f t="shared" si="1"/>
        <v>IWM US Index</v>
      </c>
      <c r="F24" s="5">
        <f t="shared" si="2"/>
        <v>1.3272501036914155E-2</v>
      </c>
    </row>
    <row r="25" spans="1:6" x14ac:dyDescent="0.35">
      <c r="A25" s="10">
        <v>45324</v>
      </c>
      <c r="B25" s="9">
        <v>-5.2701596397871529E-3</v>
      </c>
      <c r="D25" s="6" t="str">
        <f t="shared" si="0"/>
        <v>02/02/2024</v>
      </c>
      <c r="E25" s="6" t="str">
        <f t="shared" si="1"/>
        <v>IWM US Index</v>
      </c>
      <c r="F25" s="5">
        <f t="shared" si="2"/>
        <v>-5.2701596397871529E-3</v>
      </c>
    </row>
    <row r="26" spans="1:6" x14ac:dyDescent="0.35">
      <c r="A26" s="8">
        <v>45327</v>
      </c>
      <c r="B26" s="7">
        <v>-1.2705107761946397E-2</v>
      </c>
      <c r="D26" s="6" t="str">
        <f t="shared" si="0"/>
        <v>02/05/2024</v>
      </c>
      <c r="E26" s="6" t="str">
        <f t="shared" si="1"/>
        <v>IWM US Index</v>
      </c>
      <c r="F26" s="5">
        <f t="shared" si="2"/>
        <v>-1.2705107761946397E-2</v>
      </c>
    </row>
    <row r="27" spans="1:6" x14ac:dyDescent="0.35">
      <c r="A27" s="10">
        <v>45328</v>
      </c>
      <c r="B27" s="9">
        <v>9.013233302073511E-3</v>
      </c>
      <c r="D27" s="6" t="str">
        <f t="shared" si="0"/>
        <v>02/06/2024</v>
      </c>
      <c r="E27" s="6" t="str">
        <f t="shared" si="1"/>
        <v>IWM US Index</v>
      </c>
      <c r="F27" s="5">
        <f t="shared" si="2"/>
        <v>9.013233302073511E-3</v>
      </c>
    </row>
    <row r="28" spans="1:6" x14ac:dyDescent="0.35">
      <c r="A28" s="8">
        <v>45329</v>
      </c>
      <c r="B28" s="7">
        <v>-2.3235400423400046E-3</v>
      </c>
      <c r="D28" s="6" t="str">
        <f t="shared" si="0"/>
        <v>02/07/2024</v>
      </c>
      <c r="E28" s="6" t="str">
        <f t="shared" si="1"/>
        <v>IWM US Index</v>
      </c>
      <c r="F28" s="5">
        <f t="shared" si="2"/>
        <v>-2.3235400423400046E-3</v>
      </c>
    </row>
    <row r="29" spans="1:6" x14ac:dyDescent="0.35">
      <c r="A29" s="10">
        <v>45330</v>
      </c>
      <c r="B29" s="9">
        <v>1.5164061691336337E-2</v>
      </c>
      <c r="D29" s="6" t="str">
        <f t="shared" si="0"/>
        <v>02/08/2024</v>
      </c>
      <c r="E29" s="6" t="str">
        <f t="shared" si="1"/>
        <v>IWM US Index</v>
      </c>
      <c r="F29" s="5">
        <f t="shared" si="2"/>
        <v>1.5164061691336337E-2</v>
      </c>
    </row>
    <row r="30" spans="1:6" x14ac:dyDescent="0.35">
      <c r="A30" s="8">
        <v>45331</v>
      </c>
      <c r="B30" s="7">
        <v>1.6263063981646685E-2</v>
      </c>
      <c r="D30" s="6" t="str">
        <f t="shared" si="0"/>
        <v>02/09/2024</v>
      </c>
      <c r="E30" s="6" t="str">
        <f t="shared" si="1"/>
        <v>IWM US Index</v>
      </c>
      <c r="F30" s="5">
        <f t="shared" si="2"/>
        <v>1.6263063981646685E-2</v>
      </c>
    </row>
    <row r="31" spans="1:6" x14ac:dyDescent="0.35">
      <c r="A31" s="10">
        <v>45334</v>
      </c>
      <c r="B31" s="9">
        <v>1.8159927761613348E-2</v>
      </c>
      <c r="D31" s="6" t="str">
        <f t="shared" si="0"/>
        <v>02/12/2024</v>
      </c>
      <c r="E31" s="6" t="str">
        <f t="shared" si="1"/>
        <v>IWM US Index</v>
      </c>
      <c r="F31" s="5">
        <f t="shared" si="2"/>
        <v>1.8159927761613348E-2</v>
      </c>
    </row>
    <row r="32" spans="1:6" x14ac:dyDescent="0.35">
      <c r="A32" s="8">
        <v>45335</v>
      </c>
      <c r="B32" s="7">
        <v>-4.1141111549073676E-2</v>
      </c>
      <c r="D32" s="6" t="str">
        <f t="shared" si="0"/>
        <v>02/13/2024</v>
      </c>
      <c r="E32" s="6" t="str">
        <f t="shared" si="1"/>
        <v>IWM US Index</v>
      </c>
      <c r="F32" s="5">
        <f t="shared" si="2"/>
        <v>-4.1141111549073676E-2</v>
      </c>
    </row>
    <row r="33" spans="1:6" x14ac:dyDescent="0.35">
      <c r="A33" s="10">
        <v>45336</v>
      </c>
      <c r="B33" s="9">
        <v>2.3225939057602289E-2</v>
      </c>
      <c r="D33" s="6" t="str">
        <f t="shared" si="0"/>
        <v>02/14/2024</v>
      </c>
      <c r="E33" s="6" t="str">
        <f t="shared" si="1"/>
        <v>IWM US Index</v>
      </c>
      <c r="F33" s="5">
        <f t="shared" si="2"/>
        <v>2.3225939057602289E-2</v>
      </c>
    </row>
    <row r="34" spans="1:6" x14ac:dyDescent="0.35">
      <c r="A34" s="8">
        <v>45337</v>
      </c>
      <c r="B34" s="7">
        <v>2.6665997087329897E-2</v>
      </c>
      <c r="D34" s="6" t="str">
        <f t="shared" si="0"/>
        <v>02/15/2024</v>
      </c>
      <c r="E34" s="6" t="str">
        <f t="shared" si="1"/>
        <v>IWM US Index</v>
      </c>
      <c r="F34" s="5">
        <f t="shared" si="2"/>
        <v>2.6665997087329897E-2</v>
      </c>
    </row>
    <row r="35" spans="1:6" x14ac:dyDescent="0.35">
      <c r="A35" s="10">
        <v>45338</v>
      </c>
      <c r="B35" s="9">
        <v>-1.3598121698297794E-2</v>
      </c>
      <c r="D35" s="6" t="str">
        <f t="shared" si="0"/>
        <v>02/16/2024</v>
      </c>
      <c r="E35" s="6" t="str">
        <f t="shared" si="1"/>
        <v>IWM US Index</v>
      </c>
      <c r="F35" s="5">
        <f t="shared" si="2"/>
        <v>-1.3598121698297794E-2</v>
      </c>
    </row>
    <row r="36" spans="1:6" x14ac:dyDescent="0.35">
      <c r="A36" s="8">
        <v>45342</v>
      </c>
      <c r="B36" s="7">
        <v>-1.3785579688584753E-2</v>
      </c>
      <c r="D36" s="6" t="str">
        <f t="shared" si="0"/>
        <v>02/20/2024</v>
      </c>
      <c r="E36" s="6" t="str">
        <f t="shared" si="1"/>
        <v>IWM US Index</v>
      </c>
      <c r="F36" s="5">
        <f t="shared" si="2"/>
        <v>-1.3785579688584753E-2</v>
      </c>
    </row>
    <row r="37" spans="1:6" x14ac:dyDescent="0.35">
      <c r="A37" s="10">
        <v>45343</v>
      </c>
      <c r="B37" s="9">
        <v>-4.7264682220434315E-3</v>
      </c>
      <c r="D37" s="6" t="str">
        <f t="shared" si="0"/>
        <v>02/21/2024</v>
      </c>
      <c r="E37" s="6" t="str">
        <f t="shared" si="1"/>
        <v>IWM US Index</v>
      </c>
      <c r="F37" s="5">
        <f t="shared" si="2"/>
        <v>-4.7264682220434315E-3</v>
      </c>
    </row>
    <row r="38" spans="1:6" x14ac:dyDescent="0.35">
      <c r="A38" s="8">
        <v>45344</v>
      </c>
      <c r="B38" s="7">
        <v>7.5780539557441656E-3</v>
      </c>
      <c r="D38" s="6" t="str">
        <f t="shared" si="0"/>
        <v>02/22/2024</v>
      </c>
      <c r="E38" s="6" t="str">
        <f t="shared" si="1"/>
        <v>IWM US Index</v>
      </c>
      <c r="F38" s="5">
        <f t="shared" si="2"/>
        <v>7.5780539557441656E-3</v>
      </c>
    </row>
    <row r="39" spans="1:6" x14ac:dyDescent="0.35">
      <c r="A39" s="10">
        <v>45345</v>
      </c>
      <c r="B39" s="9">
        <v>2.2563176895306291E-3</v>
      </c>
      <c r="D39" s="6" t="str">
        <f t="shared" si="0"/>
        <v>02/23/2024</v>
      </c>
      <c r="E39" s="6" t="str">
        <f t="shared" si="1"/>
        <v>IWM US Index</v>
      </c>
      <c r="F39" s="5">
        <f t="shared" si="2"/>
        <v>2.2563176895306291E-3</v>
      </c>
    </row>
    <row r="40" spans="1:6" x14ac:dyDescent="0.35">
      <c r="A40" s="8">
        <v>45348</v>
      </c>
      <c r="B40" s="7">
        <v>6.3034669067988363E-3</v>
      </c>
      <c r="D40" s="6" t="str">
        <f t="shared" si="0"/>
        <v>02/26/2024</v>
      </c>
      <c r="E40" s="6" t="str">
        <f t="shared" si="1"/>
        <v>IWM US Index</v>
      </c>
      <c r="F40" s="5">
        <f t="shared" si="2"/>
        <v>6.3034669067988363E-3</v>
      </c>
    </row>
    <row r="41" spans="1:6" x14ac:dyDescent="0.35">
      <c r="A41" s="10">
        <v>45349</v>
      </c>
      <c r="B41" s="9">
        <v>1.4168530947054407E-2</v>
      </c>
      <c r="D41" s="6" t="str">
        <f t="shared" si="0"/>
        <v>02/27/2024</v>
      </c>
      <c r="E41" s="6" t="str">
        <f t="shared" si="1"/>
        <v>IWM US Index</v>
      </c>
      <c r="F41" s="5">
        <f t="shared" si="2"/>
        <v>1.4168530947054407E-2</v>
      </c>
    </row>
    <row r="42" spans="1:6" x14ac:dyDescent="0.35">
      <c r="A42" s="8">
        <v>45350</v>
      </c>
      <c r="B42" s="7">
        <v>-8.2352941176470924E-3</v>
      </c>
      <c r="D42" s="6" t="str">
        <f t="shared" si="0"/>
        <v>02/28/2024</v>
      </c>
      <c r="E42" s="6" t="str">
        <f t="shared" si="1"/>
        <v>IWM US Index</v>
      </c>
      <c r="F42" s="5">
        <f t="shared" si="2"/>
        <v>-8.2352941176470924E-3</v>
      </c>
    </row>
    <row r="43" spans="1:6" x14ac:dyDescent="0.35">
      <c r="A43" s="10">
        <v>45351</v>
      </c>
      <c r="B43" s="9">
        <v>6.9691577698694973E-3</v>
      </c>
      <c r="D43" s="6" t="str">
        <f t="shared" si="0"/>
        <v>02/29/2024</v>
      </c>
      <c r="E43" s="6" t="str">
        <f t="shared" si="1"/>
        <v>IWM US Index</v>
      </c>
      <c r="F43" s="5">
        <f t="shared" si="2"/>
        <v>6.9691577698694973E-3</v>
      </c>
    </row>
    <row r="44" spans="1:6" x14ac:dyDescent="0.35">
      <c r="A44" s="8">
        <v>45352</v>
      </c>
      <c r="B44" s="7">
        <v>1.0602267707259591E-2</v>
      </c>
      <c r="D44" s="6" t="str">
        <f t="shared" si="0"/>
        <v>03/01/2024</v>
      </c>
      <c r="E44" s="6" t="str">
        <f t="shared" si="1"/>
        <v>IWM US Index</v>
      </c>
      <c r="F44" s="5">
        <f t="shared" si="2"/>
        <v>1.0602267707259591E-2</v>
      </c>
    </row>
    <row r="45" spans="1:6" x14ac:dyDescent="0.35">
      <c r="A45" s="10">
        <v>45355</v>
      </c>
      <c r="B45" s="9">
        <v>-9.2282286657923047E-4</v>
      </c>
      <c r="D45" s="6" t="str">
        <f t="shared" si="0"/>
        <v>03/04/2024</v>
      </c>
      <c r="E45" s="6" t="str">
        <f t="shared" si="1"/>
        <v>IWM US Index</v>
      </c>
      <c r="F45" s="5">
        <f t="shared" si="2"/>
        <v>-9.2282286657923047E-4</v>
      </c>
    </row>
    <row r="46" spans="1:6" x14ac:dyDescent="0.35">
      <c r="A46" s="8">
        <v>45356</v>
      </c>
      <c r="B46" s="7">
        <v>-9.5770539620806949E-3</v>
      </c>
      <c r="D46" s="6" t="str">
        <f t="shared" si="0"/>
        <v>03/05/2024</v>
      </c>
      <c r="E46" s="6" t="str">
        <f t="shared" si="1"/>
        <v>IWM US Index</v>
      </c>
      <c r="F46" s="5">
        <f t="shared" si="2"/>
        <v>-9.5770539620806949E-3</v>
      </c>
    </row>
    <row r="47" spans="1:6" x14ac:dyDescent="0.35">
      <c r="A47" s="10">
        <v>45357</v>
      </c>
      <c r="B47" s="9">
        <v>7.4608550532568119E-3</v>
      </c>
      <c r="D47" s="6" t="str">
        <f t="shared" si="0"/>
        <v>03/06/2024</v>
      </c>
      <c r="E47" s="6" t="str">
        <f t="shared" si="1"/>
        <v>IWM US Index</v>
      </c>
      <c r="F47" s="5">
        <f t="shared" si="2"/>
        <v>7.4608550532568119E-3</v>
      </c>
    </row>
    <row r="48" spans="1:6" x14ac:dyDescent="0.35">
      <c r="A48" s="8">
        <v>45358</v>
      </c>
      <c r="B48" s="7">
        <v>8.3313032886723898E-3</v>
      </c>
      <c r="D48" s="6" t="str">
        <f t="shared" si="0"/>
        <v>03/07/2024</v>
      </c>
      <c r="E48" s="6" t="str">
        <f t="shared" si="1"/>
        <v>IWM US Index</v>
      </c>
      <c r="F48" s="5">
        <f t="shared" si="2"/>
        <v>8.3313032886723898E-3</v>
      </c>
    </row>
    <row r="49" spans="1:6" x14ac:dyDescent="0.35">
      <c r="A49" s="10">
        <v>45359</v>
      </c>
      <c r="B49" s="9">
        <v>-6.2814070351756594E-4</v>
      </c>
      <c r="D49" s="6" t="str">
        <f t="shared" si="0"/>
        <v>03/08/2024</v>
      </c>
      <c r="E49" s="6" t="str">
        <f t="shared" si="1"/>
        <v>IWM US Index</v>
      </c>
      <c r="F49" s="5">
        <f t="shared" si="2"/>
        <v>-6.2814070351756594E-4</v>
      </c>
    </row>
    <row r="50" spans="1:6" x14ac:dyDescent="0.35">
      <c r="A50" s="8">
        <v>45362</v>
      </c>
      <c r="B50" s="7">
        <v>-7.9292172315428844E-3</v>
      </c>
      <c r="D50" s="6" t="str">
        <f t="shared" si="0"/>
        <v>03/11/2024</v>
      </c>
      <c r="E50" s="6" t="str">
        <f t="shared" si="1"/>
        <v>IWM US Index</v>
      </c>
      <c r="F50" s="5">
        <f t="shared" si="2"/>
        <v>-7.9292172315428844E-3</v>
      </c>
    </row>
    <row r="51" spans="1:6" x14ac:dyDescent="0.35">
      <c r="A51" s="10">
        <v>45363</v>
      </c>
      <c r="B51" s="9">
        <v>-1.3645889175885821E-3</v>
      </c>
      <c r="D51" s="6" t="str">
        <f t="shared" si="0"/>
        <v>03/12/2024</v>
      </c>
      <c r="E51" s="6" t="str">
        <f t="shared" si="1"/>
        <v>IWM US Index</v>
      </c>
      <c r="F51" s="5">
        <f t="shared" si="2"/>
        <v>-1.3645889175885821E-3</v>
      </c>
    </row>
    <row r="52" spans="1:6" x14ac:dyDescent="0.35">
      <c r="A52" s="8">
        <v>45364</v>
      </c>
      <c r="B52" s="7">
        <v>3.9041530427993331E-3</v>
      </c>
      <c r="D52" s="6" t="str">
        <f t="shared" si="0"/>
        <v>03/13/2024</v>
      </c>
      <c r="E52" s="6" t="str">
        <f t="shared" si="1"/>
        <v>IWM US Index</v>
      </c>
      <c r="F52" s="5">
        <f t="shared" si="2"/>
        <v>3.9041530427993331E-3</v>
      </c>
    </row>
    <row r="53" spans="1:6" x14ac:dyDescent="0.35">
      <c r="A53" s="10">
        <v>45365</v>
      </c>
      <c r="B53" s="9">
        <v>-1.7889261581838543E-2</v>
      </c>
      <c r="D53" s="6" t="str">
        <f t="shared" si="0"/>
        <v>03/14/2024</v>
      </c>
      <c r="E53" s="6" t="str">
        <f t="shared" si="1"/>
        <v>IWM US Index</v>
      </c>
      <c r="F53" s="5">
        <f t="shared" si="2"/>
        <v>-1.7889261581838543E-2</v>
      </c>
    </row>
    <row r="54" spans="1:6" x14ac:dyDescent="0.35">
      <c r="A54" s="8">
        <v>45366</v>
      </c>
      <c r="B54" s="7">
        <v>1.8809087759243451E-3</v>
      </c>
      <c r="D54" s="6" t="str">
        <f t="shared" si="0"/>
        <v>03/15/2024</v>
      </c>
      <c r="E54" s="6" t="str">
        <f t="shared" si="1"/>
        <v>IWM US Index</v>
      </c>
      <c r="F54" s="5">
        <f t="shared" si="2"/>
        <v>1.8809087759243451E-3</v>
      </c>
    </row>
    <row r="55" spans="1:6" x14ac:dyDescent="0.35">
      <c r="A55" s="10">
        <v>45369</v>
      </c>
      <c r="B55" s="9">
        <v>-5.7309421471271015E-3</v>
      </c>
      <c r="D55" s="6" t="str">
        <f t="shared" si="0"/>
        <v>03/18/2024</v>
      </c>
      <c r="E55" s="6" t="str">
        <f t="shared" si="1"/>
        <v>IWM US Index</v>
      </c>
      <c r="F55" s="5">
        <f t="shared" si="2"/>
        <v>-5.7309421471271015E-3</v>
      </c>
    </row>
    <row r="56" spans="1:6" x14ac:dyDescent="0.35">
      <c r="A56" s="8">
        <v>45370</v>
      </c>
      <c r="B56" s="7">
        <v>4.2236024844720214E-3</v>
      </c>
      <c r="D56" s="6" t="str">
        <f t="shared" si="0"/>
        <v>03/19/2024</v>
      </c>
      <c r="E56" s="6" t="str">
        <f t="shared" si="1"/>
        <v>IWM US Index</v>
      </c>
      <c r="F56" s="5">
        <f t="shared" si="2"/>
        <v>4.2236024844720214E-3</v>
      </c>
    </row>
    <row r="57" spans="1:6" x14ac:dyDescent="0.35">
      <c r="A57" s="10">
        <v>45371</v>
      </c>
      <c r="B57" s="9">
        <v>1.9792182088075212E-2</v>
      </c>
      <c r="D57" s="6" t="str">
        <f t="shared" si="0"/>
        <v>03/20/2024</v>
      </c>
      <c r="E57" s="6" t="str">
        <f t="shared" si="1"/>
        <v>IWM US Index</v>
      </c>
      <c r="F57" s="5">
        <f t="shared" si="2"/>
        <v>1.9792182088075212E-2</v>
      </c>
    </row>
    <row r="58" spans="1:6" x14ac:dyDescent="0.35">
      <c r="A58" s="8">
        <v>45372</v>
      </c>
      <c r="B58" s="7">
        <v>1.1461067442988927E-2</v>
      </c>
      <c r="D58" s="6" t="str">
        <f t="shared" si="0"/>
        <v>03/21/2024</v>
      </c>
      <c r="E58" s="6" t="str">
        <f t="shared" si="1"/>
        <v>IWM US Index</v>
      </c>
      <c r="F58" s="5">
        <f t="shared" si="2"/>
        <v>1.1461067442988927E-2</v>
      </c>
    </row>
    <row r="59" spans="1:6" x14ac:dyDescent="0.35">
      <c r="A59" s="10">
        <v>45373</v>
      </c>
      <c r="B59" s="9">
        <v>-1.3802058286044042E-2</v>
      </c>
      <c r="D59" s="6" t="str">
        <f t="shared" si="0"/>
        <v>03/22/2024</v>
      </c>
      <c r="E59" s="6" t="str">
        <f t="shared" si="1"/>
        <v>IWM US Index</v>
      </c>
      <c r="F59" s="5">
        <f t="shared" si="2"/>
        <v>-1.3802058286044042E-2</v>
      </c>
    </row>
    <row r="60" spans="1:6" x14ac:dyDescent="0.35">
      <c r="A60" s="8">
        <v>45376</v>
      </c>
      <c r="B60" s="7">
        <v>2.2919003267176685E-3</v>
      </c>
      <c r="D60" s="6" t="str">
        <f t="shared" si="0"/>
        <v>03/25/2024</v>
      </c>
      <c r="E60" s="6" t="str">
        <f t="shared" si="1"/>
        <v>IWM US Index</v>
      </c>
      <c r="F60" s="5">
        <f t="shared" si="2"/>
        <v>2.2919003267176685E-3</v>
      </c>
    </row>
    <row r="61" spans="1:6" x14ac:dyDescent="0.35">
      <c r="A61" s="10">
        <v>45377</v>
      </c>
      <c r="B61" s="9">
        <v>-1.8001362265253327E-3</v>
      </c>
      <c r="D61" s="6" t="str">
        <f t="shared" si="0"/>
        <v>03/26/2024</v>
      </c>
      <c r="E61" s="6" t="str">
        <f t="shared" si="1"/>
        <v>IWM US Index</v>
      </c>
      <c r="F61" s="5">
        <f t="shared" si="2"/>
        <v>-1.8001362265253327E-3</v>
      </c>
    </row>
    <row r="62" spans="1:6" x14ac:dyDescent="0.35">
      <c r="A62" s="8">
        <v>45378</v>
      </c>
      <c r="B62" s="7">
        <v>2.1786810937271542E-2</v>
      </c>
      <c r="D62" s="6" t="str">
        <f t="shared" si="0"/>
        <v>03/27/2024</v>
      </c>
      <c r="E62" s="6" t="str">
        <f t="shared" si="1"/>
        <v>IWM US Index</v>
      </c>
      <c r="F62" s="5">
        <f t="shared" si="2"/>
        <v>2.1786810937271542E-2</v>
      </c>
    </row>
    <row r="63" spans="1:6" x14ac:dyDescent="0.35">
      <c r="A63" s="10">
        <v>45379</v>
      </c>
      <c r="B63" s="9">
        <v>3.1482541499714719E-3</v>
      </c>
      <c r="D63" s="6" t="str">
        <f t="shared" si="0"/>
        <v>03/28/2024</v>
      </c>
      <c r="E63" s="6" t="str">
        <f t="shared" si="1"/>
        <v>IWM US Index</v>
      </c>
      <c r="F63" s="5">
        <f t="shared" si="2"/>
        <v>3.1482541499714719E-3</v>
      </c>
    </row>
    <row r="64" spans="1:6" x14ac:dyDescent="0.35">
      <c r="A64" s="8">
        <v>45383</v>
      </c>
      <c r="B64" s="7">
        <v>-9.4151212553495074E-3</v>
      </c>
      <c r="D64" s="6" t="str">
        <f t="shared" si="0"/>
        <v>04/01/2024</v>
      </c>
      <c r="E64" s="6" t="str">
        <f t="shared" si="1"/>
        <v>IWM US Index</v>
      </c>
      <c r="F64" s="5">
        <f t="shared" si="2"/>
        <v>-9.4151212553495074E-3</v>
      </c>
    </row>
    <row r="65" spans="1:6" x14ac:dyDescent="0.35">
      <c r="A65" s="10">
        <v>45384</v>
      </c>
      <c r="B65" s="9">
        <v>-1.8385176651305686E-2</v>
      </c>
      <c r="D65" s="6" t="str">
        <f t="shared" si="0"/>
        <v>04/02/2024</v>
      </c>
      <c r="E65" s="6" t="str">
        <f t="shared" si="1"/>
        <v>IWM US Index</v>
      </c>
      <c r="F65" s="5">
        <f t="shared" si="2"/>
        <v>-1.8385176651305686E-2</v>
      </c>
    </row>
    <row r="66" spans="1:6" x14ac:dyDescent="0.35">
      <c r="A66" s="8">
        <v>45385</v>
      </c>
      <c r="B66" s="7">
        <v>6.5528876717689281E-3</v>
      </c>
      <c r="D66" s="6" t="str">
        <f t="shared" si="0"/>
        <v>04/03/2024</v>
      </c>
      <c r="E66" s="6" t="str">
        <f t="shared" si="1"/>
        <v>IWM US Index</v>
      </c>
      <c r="F66" s="5">
        <f t="shared" si="2"/>
        <v>6.5528876717689281E-3</v>
      </c>
    </row>
    <row r="67" spans="1:6" x14ac:dyDescent="0.35">
      <c r="A67" s="10">
        <v>45386</v>
      </c>
      <c r="B67" s="9">
        <v>-1.000825924306474E-2</v>
      </c>
      <c r="D67" s="6" t="str">
        <f t="shared" ref="D67:D130" si="3">IF(A67 =  "", "",  TEXT(A67, "mm/dd/yyyy"))</f>
        <v>04/04/2024</v>
      </c>
      <c r="E67" s="6" t="str">
        <f t="shared" ref="E67:E130" si="4">IF(A67="", "", EntityLocal)</f>
        <v>IWM US Index</v>
      </c>
      <c r="F67" s="5">
        <f t="shared" ref="F67:F130" si="5">IF(B67="","", B67)</f>
        <v>-1.000825924306474E-2</v>
      </c>
    </row>
    <row r="68" spans="1:6" x14ac:dyDescent="0.35">
      <c r="A68" s="8">
        <v>45387</v>
      </c>
      <c r="B68" s="7">
        <v>3.3370957452028287E-3</v>
      </c>
      <c r="D68" s="6" t="str">
        <f t="shared" si="3"/>
        <v>04/05/2024</v>
      </c>
      <c r="E68" s="6" t="str">
        <f t="shared" si="4"/>
        <v>IWM US Index</v>
      </c>
      <c r="F68" s="5">
        <f t="shared" si="5"/>
        <v>3.3370957452028287E-3</v>
      </c>
    </row>
    <row r="69" spans="1:6" x14ac:dyDescent="0.35">
      <c r="A69" s="10">
        <v>45390</v>
      </c>
      <c r="B69" s="9">
        <v>5.4781120078258886E-3</v>
      </c>
      <c r="D69" s="6" t="str">
        <f t="shared" si="3"/>
        <v>04/08/2024</v>
      </c>
      <c r="E69" s="6" t="str">
        <f t="shared" si="4"/>
        <v>IWM US Index</v>
      </c>
      <c r="F69" s="5">
        <f t="shared" si="5"/>
        <v>5.4781120078258886E-3</v>
      </c>
    </row>
    <row r="70" spans="1:6" x14ac:dyDescent="0.35">
      <c r="A70" s="8">
        <v>45391</v>
      </c>
      <c r="B70" s="7">
        <v>3.9402636571484696E-3</v>
      </c>
      <c r="D70" s="6" t="str">
        <f t="shared" si="3"/>
        <v>04/09/2024</v>
      </c>
      <c r="E70" s="6" t="str">
        <f t="shared" si="4"/>
        <v>IWM US Index</v>
      </c>
      <c r="F70" s="5">
        <f t="shared" si="5"/>
        <v>3.9402636571484696E-3</v>
      </c>
    </row>
    <row r="71" spans="1:6" x14ac:dyDescent="0.35">
      <c r="A71" s="10">
        <v>45392</v>
      </c>
      <c r="B71" s="9">
        <v>-2.6407597635429762E-2</v>
      </c>
      <c r="D71" s="6" t="str">
        <f t="shared" si="3"/>
        <v>04/10/2024</v>
      </c>
      <c r="E71" s="6" t="str">
        <f t="shared" si="4"/>
        <v>IWM US Index</v>
      </c>
      <c r="F71" s="5">
        <f t="shared" si="5"/>
        <v>-2.6407597635429762E-2</v>
      </c>
    </row>
    <row r="72" spans="1:6" x14ac:dyDescent="0.35">
      <c r="A72" s="8">
        <v>45393</v>
      </c>
      <c r="B72" s="7">
        <v>6.7685263524610018E-3</v>
      </c>
      <c r="D72" s="6" t="str">
        <f t="shared" si="3"/>
        <v>04/11/2024</v>
      </c>
      <c r="E72" s="6" t="str">
        <f t="shared" si="4"/>
        <v>IWM US Index</v>
      </c>
      <c r="F72" s="5">
        <f t="shared" si="5"/>
        <v>6.7685263524610018E-3</v>
      </c>
    </row>
    <row r="73" spans="1:6" x14ac:dyDescent="0.35">
      <c r="A73" s="10">
        <v>45394</v>
      </c>
      <c r="B73" s="9">
        <v>-1.7796233130653986E-2</v>
      </c>
      <c r="D73" s="6" t="str">
        <f t="shared" si="3"/>
        <v>04/12/2024</v>
      </c>
      <c r="E73" s="6" t="str">
        <f t="shared" si="4"/>
        <v>IWM US Index</v>
      </c>
      <c r="F73" s="5">
        <f t="shared" si="5"/>
        <v>-1.7796233130653986E-2</v>
      </c>
    </row>
    <row r="74" spans="1:6" x14ac:dyDescent="0.35">
      <c r="A74" s="8">
        <v>45397</v>
      </c>
      <c r="B74" s="7">
        <v>-1.4645930847048192E-2</v>
      </c>
      <c r="D74" s="6" t="str">
        <f t="shared" si="3"/>
        <v>04/15/2024</v>
      </c>
      <c r="E74" s="6" t="str">
        <f t="shared" si="4"/>
        <v>IWM US Index</v>
      </c>
      <c r="F74" s="5">
        <f t="shared" si="5"/>
        <v>-1.4645930847048192E-2</v>
      </c>
    </row>
    <row r="75" spans="1:6" x14ac:dyDescent="0.35">
      <c r="A75" s="10">
        <v>45398</v>
      </c>
      <c r="B75" s="9">
        <v>-3.6775973030952476E-3</v>
      </c>
      <c r="D75" s="6" t="str">
        <f t="shared" si="3"/>
        <v>04/16/2024</v>
      </c>
      <c r="E75" s="6" t="str">
        <f t="shared" si="4"/>
        <v>IWM US Index</v>
      </c>
      <c r="F75" s="5">
        <f t="shared" si="5"/>
        <v>-3.6775973030952476E-3</v>
      </c>
    </row>
    <row r="76" spans="1:6" x14ac:dyDescent="0.35">
      <c r="A76" s="8">
        <v>45399</v>
      </c>
      <c r="B76" s="7">
        <v>-1.0560853070850074E-2</v>
      </c>
      <c r="D76" s="6" t="str">
        <f t="shared" si="3"/>
        <v>04/17/2024</v>
      </c>
      <c r="E76" s="6" t="str">
        <f t="shared" si="4"/>
        <v>IWM US Index</v>
      </c>
      <c r="F76" s="5">
        <f t="shared" si="5"/>
        <v>-1.0560853070850074E-2</v>
      </c>
    </row>
    <row r="77" spans="1:6" x14ac:dyDescent="0.35">
      <c r="A77" s="10">
        <v>45400</v>
      </c>
      <c r="B77" s="9">
        <v>-8.2901554404145295E-4</v>
      </c>
      <c r="D77" s="6" t="str">
        <f t="shared" si="3"/>
        <v>04/18/2024</v>
      </c>
      <c r="E77" s="6" t="str">
        <f t="shared" si="4"/>
        <v>IWM US Index</v>
      </c>
      <c r="F77" s="5">
        <f t="shared" si="5"/>
        <v>-8.2901554404145295E-4</v>
      </c>
    </row>
    <row r="78" spans="1:6" x14ac:dyDescent="0.35">
      <c r="A78" s="8">
        <v>45401</v>
      </c>
      <c r="B78" s="7">
        <v>1.5556938394523077E-3</v>
      </c>
      <c r="D78" s="6" t="str">
        <f t="shared" si="3"/>
        <v>04/19/2024</v>
      </c>
      <c r="E78" s="6" t="str">
        <f t="shared" si="4"/>
        <v>IWM US Index</v>
      </c>
      <c r="F78" s="5">
        <f t="shared" si="5"/>
        <v>1.5556938394523077E-3</v>
      </c>
    </row>
    <row r="79" spans="1:6" x14ac:dyDescent="0.35">
      <c r="A79" s="10">
        <v>45404</v>
      </c>
      <c r="B79" s="9">
        <v>1.1183597390494042E-2</v>
      </c>
      <c r="D79" s="6" t="str">
        <f t="shared" si="3"/>
        <v>04/22/2024</v>
      </c>
      <c r="E79" s="6" t="str">
        <f t="shared" si="4"/>
        <v>IWM US Index</v>
      </c>
      <c r="F79" s="5">
        <f t="shared" si="5"/>
        <v>1.1183597390494042E-2</v>
      </c>
    </row>
    <row r="80" spans="1:6" x14ac:dyDescent="0.35">
      <c r="A80" s="8">
        <v>45405</v>
      </c>
      <c r="B80" s="7">
        <v>1.6743471582181181E-2</v>
      </c>
      <c r="D80" s="6" t="str">
        <f t="shared" si="3"/>
        <v>04/23/2024</v>
      </c>
      <c r="E80" s="6" t="str">
        <f t="shared" si="4"/>
        <v>IWM US Index</v>
      </c>
      <c r="F80" s="5">
        <f t="shared" si="5"/>
        <v>1.6743471582181181E-2</v>
      </c>
    </row>
    <row r="81" spans="1:6" x14ac:dyDescent="0.35">
      <c r="A81" s="10">
        <v>45406</v>
      </c>
      <c r="B81" s="9">
        <v>-4.4820466334288597E-3</v>
      </c>
      <c r="D81" s="6" t="str">
        <f t="shared" si="3"/>
        <v>04/24/2024</v>
      </c>
      <c r="E81" s="6" t="str">
        <f t="shared" si="4"/>
        <v>IWM US Index</v>
      </c>
      <c r="F81" s="5">
        <f t="shared" si="5"/>
        <v>-4.4820466334288597E-3</v>
      </c>
    </row>
    <row r="82" spans="1:6" x14ac:dyDescent="0.35">
      <c r="A82" s="8">
        <v>45407</v>
      </c>
      <c r="B82" s="7">
        <v>-6.070416835289443E-3</v>
      </c>
      <c r="D82" s="6" t="str">
        <f t="shared" si="3"/>
        <v>04/25/2024</v>
      </c>
      <c r="E82" s="6" t="str">
        <f t="shared" si="4"/>
        <v>IWM US Index</v>
      </c>
      <c r="F82" s="5">
        <f t="shared" si="5"/>
        <v>-6.070416835289443E-3</v>
      </c>
    </row>
    <row r="83" spans="1:6" x14ac:dyDescent="0.35">
      <c r="A83" s="10">
        <v>45408</v>
      </c>
      <c r="B83" s="9">
        <v>9.5684039087949192E-3</v>
      </c>
      <c r="D83" s="6" t="str">
        <f t="shared" si="3"/>
        <v>04/26/2024</v>
      </c>
      <c r="E83" s="6" t="str">
        <f t="shared" si="4"/>
        <v>IWM US Index</v>
      </c>
      <c r="F83" s="5">
        <f t="shared" si="5"/>
        <v>9.5684039087949192E-3</v>
      </c>
    </row>
    <row r="84" spans="1:6" x14ac:dyDescent="0.35">
      <c r="A84" s="8">
        <v>45411</v>
      </c>
      <c r="B84" s="7">
        <v>8.0661423674126612E-3</v>
      </c>
      <c r="D84" s="6" t="str">
        <f t="shared" si="3"/>
        <v>04/29/2024</v>
      </c>
      <c r="E84" s="6" t="str">
        <f t="shared" si="4"/>
        <v>IWM US Index</v>
      </c>
      <c r="F84" s="5">
        <f t="shared" si="5"/>
        <v>8.0661423674126612E-3</v>
      </c>
    </row>
    <row r="85" spans="1:6" x14ac:dyDescent="0.35">
      <c r="A85" s="10">
        <v>45412</v>
      </c>
      <c r="B85" s="9">
        <v>-2.0304060812162465E-2</v>
      </c>
      <c r="D85" s="6" t="str">
        <f t="shared" si="3"/>
        <v>04/30/2024</v>
      </c>
      <c r="E85" s="6" t="str">
        <f t="shared" si="4"/>
        <v>IWM US Index</v>
      </c>
      <c r="F85" s="5">
        <f t="shared" si="5"/>
        <v>-2.0304060812162465E-2</v>
      </c>
    </row>
    <row r="86" spans="1:6" x14ac:dyDescent="0.35">
      <c r="A86" s="8">
        <v>45413</v>
      </c>
      <c r="B86" s="7">
        <v>2.0929045431343747E-3</v>
      </c>
      <c r="D86" s="6" t="str">
        <f t="shared" si="3"/>
        <v>05/01/2024</v>
      </c>
      <c r="E86" s="6" t="str">
        <f t="shared" si="4"/>
        <v>IWM US Index</v>
      </c>
      <c r="F86" s="5">
        <f t="shared" si="5"/>
        <v>2.0929045431343747E-3</v>
      </c>
    </row>
    <row r="87" spans="1:6" x14ac:dyDescent="0.35">
      <c r="A87" s="10">
        <v>45414</v>
      </c>
      <c r="B87" s="9">
        <v>1.8389282257653582E-2</v>
      </c>
      <c r="D87" s="6" t="str">
        <f t="shared" si="3"/>
        <v>05/02/2024</v>
      </c>
      <c r="E87" s="6" t="str">
        <f t="shared" si="4"/>
        <v>IWM US Index</v>
      </c>
      <c r="F87" s="5">
        <f t="shared" si="5"/>
        <v>1.8389282257653582E-2</v>
      </c>
    </row>
    <row r="88" spans="1:6" x14ac:dyDescent="0.35">
      <c r="A88" s="8">
        <v>45415</v>
      </c>
      <c r="B88" s="7">
        <v>9.9039615846338597E-3</v>
      </c>
      <c r="D88" s="6" t="str">
        <f t="shared" si="3"/>
        <v>05/03/2024</v>
      </c>
      <c r="E88" s="6" t="str">
        <f t="shared" si="4"/>
        <v>IWM US Index</v>
      </c>
      <c r="F88" s="5">
        <f t="shared" si="5"/>
        <v>9.9039615846338597E-3</v>
      </c>
    </row>
    <row r="89" spans="1:6" x14ac:dyDescent="0.35">
      <c r="A89" s="10">
        <v>45418</v>
      </c>
      <c r="B89" s="9">
        <v>1.2927191679049006E-2</v>
      </c>
      <c r="D89" s="6" t="str">
        <f t="shared" si="3"/>
        <v>05/06/2024</v>
      </c>
      <c r="E89" s="6" t="str">
        <f t="shared" si="4"/>
        <v>IWM US Index</v>
      </c>
      <c r="F89" s="5">
        <f t="shared" si="5"/>
        <v>1.2927191679049006E-2</v>
      </c>
    </row>
    <row r="90" spans="1:6" x14ac:dyDescent="0.35">
      <c r="A90" s="8">
        <v>45419</v>
      </c>
      <c r="B90" s="7">
        <v>2.2492787638746848E-3</v>
      </c>
      <c r="D90" s="6" t="str">
        <f t="shared" si="3"/>
        <v>05/07/2024</v>
      </c>
      <c r="E90" s="6" t="str">
        <f t="shared" si="4"/>
        <v>IWM US Index</v>
      </c>
      <c r="F90" s="5">
        <f t="shared" si="5"/>
        <v>2.2492787638746848E-3</v>
      </c>
    </row>
    <row r="91" spans="1:6" x14ac:dyDescent="0.35">
      <c r="A91" s="10">
        <v>45420</v>
      </c>
      <c r="B91" s="9">
        <v>-5.8057276674635715E-3</v>
      </c>
      <c r="D91" s="6" t="str">
        <f t="shared" si="3"/>
        <v>05/08/2024</v>
      </c>
      <c r="E91" s="6" t="str">
        <f t="shared" si="4"/>
        <v>IWM US Index</v>
      </c>
      <c r="F91" s="5">
        <f t="shared" si="5"/>
        <v>-5.8057276674635715E-3</v>
      </c>
    </row>
    <row r="92" spans="1:6" x14ac:dyDescent="0.35">
      <c r="A92" s="8">
        <v>45421</v>
      </c>
      <c r="B92" s="7">
        <v>1.0207086073216378E-2</v>
      </c>
      <c r="D92" s="6" t="str">
        <f t="shared" si="3"/>
        <v>05/09/2024</v>
      </c>
      <c r="E92" s="6" t="str">
        <f t="shared" si="4"/>
        <v>IWM US Index</v>
      </c>
      <c r="F92" s="5">
        <f t="shared" si="5"/>
        <v>1.0207086073216378E-2</v>
      </c>
    </row>
    <row r="93" spans="1:6" x14ac:dyDescent="0.35">
      <c r="A93" s="10">
        <v>45422</v>
      </c>
      <c r="B93" s="9">
        <v>-7.5293889050812007E-3</v>
      </c>
      <c r="D93" s="6" t="str">
        <f t="shared" si="3"/>
        <v>05/10/2024</v>
      </c>
      <c r="E93" s="6" t="str">
        <f t="shared" si="4"/>
        <v>IWM US Index</v>
      </c>
      <c r="F93" s="5">
        <f t="shared" si="5"/>
        <v>-7.5293889050812007E-3</v>
      </c>
    </row>
    <row r="94" spans="1:6" x14ac:dyDescent="0.35">
      <c r="A94" s="8">
        <v>45425</v>
      </c>
      <c r="B94" s="7">
        <v>2.1046449023543311E-3</v>
      </c>
      <c r="D94" s="6" t="str">
        <f t="shared" si="3"/>
        <v>05/13/2024</v>
      </c>
      <c r="E94" s="6" t="str">
        <f t="shared" si="4"/>
        <v>IWM US Index</v>
      </c>
      <c r="F94" s="5">
        <f t="shared" si="5"/>
        <v>2.1046449023543311E-3</v>
      </c>
    </row>
    <row r="95" spans="1:6" x14ac:dyDescent="0.35">
      <c r="A95" s="10">
        <v>45426</v>
      </c>
      <c r="B95" s="9">
        <v>1.0354596073068201E-2</v>
      </c>
      <c r="D95" s="6" t="str">
        <f t="shared" si="3"/>
        <v>05/14/2024</v>
      </c>
      <c r="E95" s="6" t="str">
        <f t="shared" si="4"/>
        <v>IWM US Index</v>
      </c>
      <c r="F95" s="5">
        <f t="shared" si="5"/>
        <v>1.0354596073068201E-2</v>
      </c>
    </row>
    <row r="96" spans="1:6" x14ac:dyDescent="0.35">
      <c r="A96" s="8">
        <v>45427</v>
      </c>
      <c r="B96" s="7">
        <v>1.2472203422604638E-2</v>
      </c>
      <c r="D96" s="6" t="str">
        <f t="shared" si="3"/>
        <v>05/15/2024</v>
      </c>
      <c r="E96" s="6" t="str">
        <f t="shared" si="4"/>
        <v>IWM US Index</v>
      </c>
      <c r="F96" s="5">
        <f t="shared" si="5"/>
        <v>1.2472203422604638E-2</v>
      </c>
    </row>
    <row r="97" spans="1:6" x14ac:dyDescent="0.35">
      <c r="A97" s="10">
        <v>45428</v>
      </c>
      <c r="B97" s="9">
        <v>-7.2097020626431477E-3</v>
      </c>
      <c r="D97" s="6" t="str">
        <f t="shared" si="3"/>
        <v>05/16/2024</v>
      </c>
      <c r="E97" s="6" t="str">
        <f t="shared" si="4"/>
        <v>IWM US Index</v>
      </c>
      <c r="F97" s="5">
        <f t="shared" si="5"/>
        <v>-7.2097020626431477E-3</v>
      </c>
    </row>
    <row r="98" spans="1:6" x14ac:dyDescent="0.35">
      <c r="A98" s="8">
        <v>45429</v>
      </c>
      <c r="B98" s="7">
        <v>7.2139662386375939E-4</v>
      </c>
      <c r="D98" s="6" t="str">
        <f t="shared" si="3"/>
        <v>05/17/2024</v>
      </c>
      <c r="E98" s="6" t="str">
        <f t="shared" si="4"/>
        <v>IWM US Index</v>
      </c>
      <c r="F98" s="5">
        <f t="shared" si="5"/>
        <v>7.2139662386375939E-4</v>
      </c>
    </row>
    <row r="99" spans="1:6" x14ac:dyDescent="0.35">
      <c r="A99" s="10">
        <v>45432</v>
      </c>
      <c r="B99" s="9">
        <v>2.2106881968472865E-3</v>
      </c>
      <c r="D99" s="6" t="str">
        <f t="shared" si="3"/>
        <v>05/20/2024</v>
      </c>
      <c r="E99" s="6" t="str">
        <f t="shared" si="4"/>
        <v>IWM US Index</v>
      </c>
      <c r="F99" s="5">
        <f t="shared" si="5"/>
        <v>2.2106881968472865E-3</v>
      </c>
    </row>
    <row r="100" spans="1:6" x14ac:dyDescent="0.35">
      <c r="A100" s="8">
        <v>45433</v>
      </c>
      <c r="B100" s="7">
        <v>-9.5904862376512527E-4</v>
      </c>
      <c r="D100" s="6" t="str">
        <f t="shared" si="3"/>
        <v>05/21/2024</v>
      </c>
      <c r="E100" s="6" t="str">
        <f t="shared" si="4"/>
        <v>IWM US Index</v>
      </c>
      <c r="F100" s="5">
        <f t="shared" si="5"/>
        <v>-9.5904862376512527E-4</v>
      </c>
    </row>
    <row r="101" spans="1:6" x14ac:dyDescent="0.35">
      <c r="A101" s="10">
        <v>45434</v>
      </c>
      <c r="B101" s="9">
        <v>-8.4477296726504954E-3</v>
      </c>
      <c r="D101" s="6" t="str">
        <f t="shared" si="3"/>
        <v>05/22/2024</v>
      </c>
      <c r="E101" s="6" t="str">
        <f t="shared" si="4"/>
        <v>IWM US Index</v>
      </c>
      <c r="F101" s="5">
        <f t="shared" si="5"/>
        <v>-8.4477296726504954E-3</v>
      </c>
    </row>
    <row r="102" spans="1:6" x14ac:dyDescent="0.35">
      <c r="A102" s="8">
        <v>45435</v>
      </c>
      <c r="B102" s="7">
        <v>-1.6410107464420592E-2</v>
      </c>
      <c r="D102" s="6" t="str">
        <f t="shared" si="3"/>
        <v>05/23/2024</v>
      </c>
      <c r="E102" s="6" t="str">
        <f t="shared" si="4"/>
        <v>IWM US Index</v>
      </c>
      <c r="F102" s="5">
        <f t="shared" si="5"/>
        <v>-1.6410107464420592E-2</v>
      </c>
    </row>
    <row r="103" spans="1:6" x14ac:dyDescent="0.35">
      <c r="A103" s="10">
        <v>45436</v>
      </c>
      <c r="B103" s="9">
        <v>1.1073379595452465E-2</v>
      </c>
      <c r="D103" s="6" t="str">
        <f t="shared" si="3"/>
        <v>05/24/2024</v>
      </c>
      <c r="E103" s="6" t="str">
        <f t="shared" si="4"/>
        <v>IWM US Index</v>
      </c>
      <c r="F103" s="5">
        <f t="shared" si="5"/>
        <v>1.1073379595452465E-2</v>
      </c>
    </row>
    <row r="104" spans="1:6" x14ac:dyDescent="0.35">
      <c r="A104" s="8">
        <v>45440</v>
      </c>
      <c r="B104" s="7">
        <v>-1.362928348909626E-3</v>
      </c>
      <c r="D104" s="6" t="str">
        <f t="shared" si="3"/>
        <v>05/28/2024</v>
      </c>
      <c r="E104" s="6" t="str">
        <f t="shared" si="4"/>
        <v>IWM US Index</v>
      </c>
      <c r="F104" s="5">
        <f t="shared" si="5"/>
        <v>-1.362928348909626E-3</v>
      </c>
    </row>
    <row r="105" spans="1:6" x14ac:dyDescent="0.35">
      <c r="A105" s="10">
        <v>45441</v>
      </c>
      <c r="B105" s="9">
        <v>-1.4768960811074277E-2</v>
      </c>
      <c r="D105" s="6" t="str">
        <f t="shared" si="3"/>
        <v>05/29/2024</v>
      </c>
      <c r="E105" s="6" t="str">
        <f t="shared" si="4"/>
        <v>IWM US Index</v>
      </c>
      <c r="F105" s="5">
        <f t="shared" si="5"/>
        <v>-1.4768960811074277E-2</v>
      </c>
    </row>
    <row r="106" spans="1:6" x14ac:dyDescent="0.35">
      <c r="A106" s="8">
        <v>45442</v>
      </c>
      <c r="B106" s="7">
        <v>9.4988373818829692E-3</v>
      </c>
      <c r="D106" s="6" t="str">
        <f t="shared" si="3"/>
        <v>05/30/2024</v>
      </c>
      <c r="E106" s="6" t="str">
        <f t="shared" si="4"/>
        <v>IWM US Index</v>
      </c>
      <c r="F106" s="5">
        <f t="shared" si="5"/>
        <v>9.4988373818829692E-3</v>
      </c>
    </row>
    <row r="107" spans="1:6" x14ac:dyDescent="0.35">
      <c r="A107" s="10">
        <v>45443</v>
      </c>
      <c r="B107" s="9">
        <v>8.4293065425140746E-3</v>
      </c>
      <c r="D107" s="6" t="str">
        <f t="shared" si="3"/>
        <v>05/31/2024</v>
      </c>
      <c r="E107" s="6" t="str">
        <f t="shared" si="4"/>
        <v>IWM US Index</v>
      </c>
      <c r="F107" s="5">
        <f t="shared" si="5"/>
        <v>8.4293065425140746E-3</v>
      </c>
    </row>
    <row r="108" spans="1:6" x14ac:dyDescent="0.35">
      <c r="A108" s="8">
        <v>45446</v>
      </c>
      <c r="B108" s="7">
        <v>-5.63736210331915E-3</v>
      </c>
      <c r="D108" s="6" t="str">
        <f t="shared" si="3"/>
        <v>06/03/2024</v>
      </c>
      <c r="E108" s="6" t="str">
        <f t="shared" si="4"/>
        <v>IWM US Index</v>
      </c>
      <c r="F108" s="5">
        <f t="shared" si="5"/>
        <v>-5.63736210331915E-3</v>
      </c>
    </row>
    <row r="109" spans="1:6" x14ac:dyDescent="0.35">
      <c r="A109" s="10">
        <v>45447</v>
      </c>
      <c r="B109" s="9">
        <v>-1.2902595181076294E-2</v>
      </c>
      <c r="D109" s="6" t="str">
        <f t="shared" si="3"/>
        <v>06/04/2024</v>
      </c>
      <c r="E109" s="6" t="str">
        <f t="shared" si="4"/>
        <v>IWM US Index</v>
      </c>
      <c r="F109" s="5">
        <f t="shared" si="5"/>
        <v>-1.2902595181076294E-2</v>
      </c>
    </row>
    <row r="110" spans="1:6" x14ac:dyDescent="0.35">
      <c r="A110" s="8">
        <v>45448</v>
      </c>
      <c r="B110" s="7">
        <v>1.529930187651629E-2</v>
      </c>
      <c r="D110" s="6" t="str">
        <f t="shared" si="3"/>
        <v>06/05/2024</v>
      </c>
      <c r="E110" s="6" t="str">
        <f t="shared" si="4"/>
        <v>IWM US Index</v>
      </c>
      <c r="F110" s="5">
        <f t="shared" si="5"/>
        <v>1.529930187651629E-2</v>
      </c>
    </row>
    <row r="111" spans="1:6" x14ac:dyDescent="0.35">
      <c r="A111" s="10">
        <v>45449</v>
      </c>
      <c r="B111" s="9">
        <v>-7.1686335706622542E-3</v>
      </c>
      <c r="D111" s="6" t="str">
        <f t="shared" si="3"/>
        <v>06/06/2024</v>
      </c>
      <c r="E111" s="6" t="str">
        <f t="shared" si="4"/>
        <v>IWM US Index</v>
      </c>
      <c r="F111" s="5">
        <f t="shared" si="5"/>
        <v>-7.1686335706622542E-3</v>
      </c>
    </row>
    <row r="112" spans="1:6" x14ac:dyDescent="0.35">
      <c r="A112" s="8">
        <v>45450</v>
      </c>
      <c r="B112" s="7">
        <v>-1.1739279925340129E-2</v>
      </c>
      <c r="D112" s="6" t="str">
        <f t="shared" si="3"/>
        <v>06/07/2024</v>
      </c>
      <c r="E112" s="6" t="str">
        <f t="shared" si="4"/>
        <v>IWM US Index</v>
      </c>
      <c r="F112" s="5">
        <f t="shared" si="5"/>
        <v>-1.1739279925340129E-2</v>
      </c>
    </row>
    <row r="113" spans="1:6" x14ac:dyDescent="0.35">
      <c r="A113" s="10">
        <v>45453</v>
      </c>
      <c r="B113" s="9">
        <v>3.4294234592444797E-3</v>
      </c>
      <c r="D113" s="6" t="str">
        <f t="shared" si="3"/>
        <v>06/10/2024</v>
      </c>
      <c r="E113" s="6" t="str">
        <f t="shared" si="4"/>
        <v>IWM US Index</v>
      </c>
      <c r="F113" s="5">
        <f t="shared" si="5"/>
        <v>3.4294234592444797E-3</v>
      </c>
    </row>
    <row r="114" spans="1:6" x14ac:dyDescent="0.35">
      <c r="A114" s="8">
        <v>45454</v>
      </c>
      <c r="B114" s="7">
        <v>-3.4067858734954043E-3</v>
      </c>
      <c r="D114" s="6" t="str">
        <f t="shared" si="3"/>
        <v>06/11/2024</v>
      </c>
      <c r="E114" s="6" t="str">
        <f t="shared" si="4"/>
        <v>IWM US Index</v>
      </c>
      <c r="F114" s="5">
        <f t="shared" si="5"/>
        <v>-3.4067858734954043E-3</v>
      </c>
    </row>
    <row r="115" spans="1:6" x14ac:dyDescent="0.35">
      <c r="A115" s="10">
        <v>45455</v>
      </c>
      <c r="B115" s="9">
        <v>1.5350877192982429E-2</v>
      </c>
      <c r="D115" s="6" t="str">
        <f t="shared" si="3"/>
        <v>06/12/2024</v>
      </c>
      <c r="E115" s="6" t="str">
        <f t="shared" si="4"/>
        <v>IWM US Index</v>
      </c>
      <c r="F115" s="5">
        <f t="shared" si="5"/>
        <v>1.5350877192982429E-2</v>
      </c>
    </row>
    <row r="116" spans="1:6" x14ac:dyDescent="0.35">
      <c r="A116" s="8">
        <v>45456</v>
      </c>
      <c r="B116" s="7">
        <v>-8.7374828195561933E-3</v>
      </c>
      <c r="D116" s="6" t="str">
        <f t="shared" si="3"/>
        <v>06/13/2024</v>
      </c>
      <c r="E116" s="6" t="str">
        <f t="shared" si="4"/>
        <v>IWM US Index</v>
      </c>
      <c r="F116" s="5">
        <f t="shared" si="5"/>
        <v>-8.7374828195561933E-3</v>
      </c>
    </row>
    <row r="117" spans="1:6" x14ac:dyDescent="0.35">
      <c r="A117" s="10">
        <v>45457</v>
      </c>
      <c r="B117" s="9">
        <v>-1.5895810636822834E-2</v>
      </c>
      <c r="D117" s="6" t="str">
        <f t="shared" si="3"/>
        <v>06/14/2024</v>
      </c>
      <c r="E117" s="6" t="str">
        <f t="shared" si="4"/>
        <v>IWM US Index</v>
      </c>
      <c r="F117" s="5">
        <f t="shared" si="5"/>
        <v>-1.5895810636822834E-2</v>
      </c>
    </row>
    <row r="118" spans="1:6" x14ac:dyDescent="0.35">
      <c r="A118" s="8">
        <v>45460</v>
      </c>
      <c r="B118" s="7">
        <v>8.403361344537846E-3</v>
      </c>
      <c r="D118" s="6" t="str">
        <f t="shared" si="3"/>
        <v>06/17/2024</v>
      </c>
      <c r="E118" s="6" t="str">
        <f t="shared" si="4"/>
        <v>IWM US Index</v>
      </c>
      <c r="F118" s="5">
        <f t="shared" si="5"/>
        <v>8.403361344537846E-3</v>
      </c>
    </row>
    <row r="119" spans="1:6" x14ac:dyDescent="0.35">
      <c r="A119" s="10">
        <v>45461</v>
      </c>
      <c r="B119" s="9">
        <v>1.7465069860279473E-3</v>
      </c>
      <c r="D119" s="6" t="str">
        <f t="shared" si="3"/>
        <v>06/18/2024</v>
      </c>
      <c r="E119" s="6" t="str">
        <f t="shared" si="4"/>
        <v>IWM US Index</v>
      </c>
      <c r="F119" s="5">
        <f t="shared" si="5"/>
        <v>1.7465069860279473E-3</v>
      </c>
    </row>
    <row r="120" spans="1:6" x14ac:dyDescent="0.35">
      <c r="A120" s="8">
        <v>45463</v>
      </c>
      <c r="B120" s="7">
        <v>-4.234122042341127E-3</v>
      </c>
      <c r="D120" s="6" t="str">
        <f t="shared" si="3"/>
        <v>06/20/2024</v>
      </c>
      <c r="E120" s="6" t="str">
        <f t="shared" si="4"/>
        <v>IWM US Index</v>
      </c>
      <c r="F120" s="5">
        <f t="shared" si="5"/>
        <v>-4.234122042341127E-3</v>
      </c>
    </row>
    <row r="121" spans="1:6" x14ac:dyDescent="0.35">
      <c r="A121" s="10">
        <v>45464</v>
      </c>
      <c r="B121" s="9">
        <v>2.2511255627812327E-3</v>
      </c>
      <c r="D121" s="6" t="str">
        <f t="shared" si="3"/>
        <v>06/21/2024</v>
      </c>
      <c r="E121" s="6" t="str">
        <f t="shared" si="4"/>
        <v>IWM US Index</v>
      </c>
      <c r="F121" s="5">
        <f t="shared" si="5"/>
        <v>2.2511255627812327E-3</v>
      </c>
    </row>
    <row r="122" spans="1:6" x14ac:dyDescent="0.35">
      <c r="A122" s="8">
        <v>45467</v>
      </c>
      <c r="B122" s="7">
        <v>4.3424007986024894E-3</v>
      </c>
      <c r="D122" s="6" t="str">
        <f t="shared" si="3"/>
        <v>06/24/2024</v>
      </c>
      <c r="E122" s="6" t="str">
        <f t="shared" si="4"/>
        <v>IWM US Index</v>
      </c>
      <c r="F122" s="5">
        <f t="shared" si="5"/>
        <v>4.3424007986024894E-3</v>
      </c>
    </row>
    <row r="123" spans="1:6" x14ac:dyDescent="0.35">
      <c r="A123" s="10">
        <v>45468</v>
      </c>
      <c r="B123" s="9">
        <v>-3.2799920485041384E-3</v>
      </c>
      <c r="D123" s="6" t="str">
        <f t="shared" si="3"/>
        <v>06/25/2024</v>
      </c>
      <c r="E123" s="6" t="str">
        <f t="shared" si="4"/>
        <v>IWM US Index</v>
      </c>
      <c r="F123" s="5">
        <f t="shared" si="5"/>
        <v>-3.2799920485041384E-3</v>
      </c>
    </row>
    <row r="124" spans="1:6" x14ac:dyDescent="0.35">
      <c r="A124" s="8">
        <v>45469</v>
      </c>
      <c r="B124" s="7">
        <v>-2.6426007179895976E-3</v>
      </c>
      <c r="D124" s="6" t="str">
        <f t="shared" si="3"/>
        <v>06/26/2024</v>
      </c>
      <c r="E124" s="6" t="str">
        <f t="shared" si="4"/>
        <v>IWM US Index</v>
      </c>
      <c r="F124" s="5">
        <f t="shared" si="5"/>
        <v>-2.6426007179895976E-3</v>
      </c>
    </row>
    <row r="125" spans="1:6" x14ac:dyDescent="0.35">
      <c r="A125" s="10">
        <v>45470</v>
      </c>
      <c r="B125" s="9">
        <v>1.014847772834071E-2</v>
      </c>
      <c r="D125" s="6" t="str">
        <f t="shared" si="3"/>
        <v>06/27/2024</v>
      </c>
      <c r="E125" s="6" t="str">
        <f t="shared" si="4"/>
        <v>IWM US Index</v>
      </c>
      <c r="F125" s="5">
        <f t="shared" si="5"/>
        <v>1.014847772834071E-2</v>
      </c>
    </row>
    <row r="126" spans="1:6" x14ac:dyDescent="0.35">
      <c r="A126" s="8">
        <v>45471</v>
      </c>
      <c r="B126" s="7">
        <v>4.1076907849152827E-3</v>
      </c>
      <c r="D126" s="6" t="str">
        <f t="shared" si="3"/>
        <v>06/28/2024</v>
      </c>
      <c r="E126" s="6" t="str">
        <f t="shared" si="4"/>
        <v>IWM US Index</v>
      </c>
      <c r="F126" s="5">
        <f t="shared" si="5"/>
        <v>4.1076907849152827E-3</v>
      </c>
    </row>
    <row r="127" spans="1:6" x14ac:dyDescent="0.35">
      <c r="A127" s="10">
        <v>45474</v>
      </c>
      <c r="B127" s="9">
        <v>-8.3789245403913006E-3</v>
      </c>
      <c r="D127" s="6" t="str">
        <f t="shared" si="3"/>
        <v>07/01/2024</v>
      </c>
      <c r="E127" s="6" t="str">
        <f t="shared" si="4"/>
        <v>IWM US Index</v>
      </c>
      <c r="F127" s="5">
        <f t="shared" si="5"/>
        <v>-8.3789245403913006E-3</v>
      </c>
    </row>
    <row r="128" spans="1:6" x14ac:dyDescent="0.35">
      <c r="A128" s="8">
        <v>45475</v>
      </c>
      <c r="B128" s="7">
        <v>3.4295939161986966E-3</v>
      </c>
      <c r="D128" s="6" t="str">
        <f t="shared" si="3"/>
        <v>07/02/2024</v>
      </c>
      <c r="E128" s="6" t="str">
        <f t="shared" si="4"/>
        <v>IWM US Index</v>
      </c>
      <c r="F128" s="5">
        <f t="shared" si="5"/>
        <v>3.4295939161986966E-3</v>
      </c>
    </row>
    <row r="129" spans="1:6" x14ac:dyDescent="0.35">
      <c r="A129" s="10">
        <v>45476</v>
      </c>
      <c r="B129" s="9">
        <v>-2.4767188428761609E-4</v>
      </c>
      <c r="D129" s="6" t="str">
        <f t="shared" si="3"/>
        <v>07/03/2024</v>
      </c>
      <c r="E129" s="6" t="str">
        <f t="shared" si="4"/>
        <v>IWM US Index</v>
      </c>
      <c r="F129" s="5">
        <f t="shared" si="5"/>
        <v>-2.4767188428761609E-4</v>
      </c>
    </row>
    <row r="130" spans="1:6" x14ac:dyDescent="0.35">
      <c r="A130" s="8">
        <v>45478</v>
      </c>
      <c r="B130" s="7">
        <v>-4.7564782242482256E-3</v>
      </c>
      <c r="D130" s="6" t="str">
        <f t="shared" si="3"/>
        <v>07/05/2024</v>
      </c>
      <c r="E130" s="6" t="str">
        <f t="shared" si="4"/>
        <v>IWM US Index</v>
      </c>
      <c r="F130" s="5">
        <f t="shared" si="5"/>
        <v>-4.7564782242482256E-3</v>
      </c>
    </row>
    <row r="131" spans="1:6" x14ac:dyDescent="0.35">
      <c r="A131" s="10">
        <v>45481</v>
      </c>
      <c r="B131" s="9">
        <v>7.0194653258327088E-3</v>
      </c>
      <c r="D131" s="6" t="str">
        <f t="shared" ref="D131:D194" si="6">IF(A131 =  "", "",  TEXT(A131, "mm/dd/yyyy"))</f>
        <v>07/08/2024</v>
      </c>
      <c r="E131" s="6" t="str">
        <f t="shared" ref="E131:E194" si="7">IF(A131="", "", EntityLocal)</f>
        <v>IWM US Index</v>
      </c>
      <c r="F131" s="5">
        <f t="shared" ref="F131:F194" si="8">IF(B131="","", B131)</f>
        <v>7.0194653258327088E-3</v>
      </c>
    </row>
    <row r="132" spans="1:6" x14ac:dyDescent="0.35">
      <c r="A132" s="8">
        <v>45482</v>
      </c>
      <c r="B132" s="7">
        <v>-4.350405378682985E-3</v>
      </c>
      <c r="D132" s="6" t="str">
        <f t="shared" si="6"/>
        <v>07/09/2024</v>
      </c>
      <c r="E132" s="6" t="str">
        <f t="shared" si="7"/>
        <v>IWM US Index</v>
      </c>
      <c r="F132" s="5">
        <f t="shared" si="8"/>
        <v>-4.350405378682985E-3</v>
      </c>
    </row>
    <row r="133" spans="1:6" x14ac:dyDescent="0.35">
      <c r="A133" s="10">
        <v>45483</v>
      </c>
      <c r="B133" s="9">
        <v>9.7815292949354239E-3</v>
      </c>
      <c r="D133" s="6" t="str">
        <f t="shared" si="6"/>
        <v>07/10/2024</v>
      </c>
      <c r="E133" s="6" t="str">
        <f t="shared" si="7"/>
        <v>IWM US Index</v>
      </c>
      <c r="F133" s="5">
        <f t="shared" si="8"/>
        <v>9.7815292949354239E-3</v>
      </c>
    </row>
    <row r="134" spans="1:6" x14ac:dyDescent="0.35">
      <c r="A134" s="8">
        <v>45484</v>
      </c>
      <c r="B134" s="7">
        <v>3.5944337906279128E-2</v>
      </c>
      <c r="D134" s="6" t="str">
        <f t="shared" si="6"/>
        <v>07/11/2024</v>
      </c>
      <c r="E134" s="6" t="str">
        <f t="shared" si="7"/>
        <v>IWM US Index</v>
      </c>
      <c r="F134" s="5">
        <f t="shared" si="8"/>
        <v>3.5944337906279128E-2</v>
      </c>
    </row>
    <row r="135" spans="1:6" x14ac:dyDescent="0.35">
      <c r="A135" s="10">
        <v>45485</v>
      </c>
      <c r="B135" s="9">
        <v>1.1676476172394104E-2</v>
      </c>
      <c r="D135" s="6" t="str">
        <f t="shared" si="6"/>
        <v>07/12/2024</v>
      </c>
      <c r="E135" s="6" t="str">
        <f t="shared" si="7"/>
        <v>IWM US Index</v>
      </c>
      <c r="F135" s="5">
        <f t="shared" si="8"/>
        <v>1.1676476172394104E-2</v>
      </c>
    </row>
    <row r="136" spans="1:6" x14ac:dyDescent="0.35">
      <c r="A136" s="8">
        <v>45488</v>
      </c>
      <c r="B136" s="7">
        <v>1.9001595195646051E-2</v>
      </c>
      <c r="D136" s="6" t="str">
        <f t="shared" si="6"/>
        <v>07/15/2024</v>
      </c>
      <c r="E136" s="6" t="str">
        <f t="shared" si="7"/>
        <v>IWM US Index</v>
      </c>
      <c r="F136" s="5">
        <f t="shared" si="8"/>
        <v>1.9001595195646051E-2</v>
      </c>
    </row>
    <row r="137" spans="1:6" x14ac:dyDescent="0.35">
      <c r="A137" s="10">
        <v>45489</v>
      </c>
      <c r="B137" s="9">
        <v>3.411759289101713E-2</v>
      </c>
      <c r="D137" s="6" t="str">
        <f t="shared" si="6"/>
        <v>07/16/2024</v>
      </c>
      <c r="E137" s="6" t="str">
        <f t="shared" si="7"/>
        <v>IWM US Index</v>
      </c>
      <c r="F137" s="5">
        <f t="shared" si="8"/>
        <v>3.411759289101713E-2</v>
      </c>
    </row>
    <row r="138" spans="1:6" x14ac:dyDescent="0.35">
      <c r="A138" s="8">
        <v>45490</v>
      </c>
      <c r="B138" s="7">
        <v>-1.0463045414069495E-2</v>
      </c>
      <c r="D138" s="6" t="str">
        <f t="shared" si="6"/>
        <v>07/17/2024</v>
      </c>
      <c r="E138" s="6" t="str">
        <f t="shared" si="7"/>
        <v>IWM US Index</v>
      </c>
      <c r="F138" s="5">
        <f t="shared" si="8"/>
        <v>-1.0463045414069495E-2</v>
      </c>
    </row>
    <row r="139" spans="1:6" x14ac:dyDescent="0.35">
      <c r="A139" s="10">
        <v>45491</v>
      </c>
      <c r="B139" s="9">
        <v>-1.9347581552305978E-2</v>
      </c>
      <c r="D139" s="6" t="str">
        <f t="shared" si="6"/>
        <v>07/18/2024</v>
      </c>
      <c r="E139" s="6" t="str">
        <f t="shared" si="7"/>
        <v>IWM US Index</v>
      </c>
      <c r="F139" s="5">
        <f t="shared" si="8"/>
        <v>-1.9347581552305978E-2</v>
      </c>
    </row>
    <row r="140" spans="1:6" x14ac:dyDescent="0.35">
      <c r="A140" s="8">
        <v>45492</v>
      </c>
      <c r="B140" s="7">
        <v>-5.0929112181691731E-3</v>
      </c>
      <c r="D140" s="6" t="str">
        <f t="shared" si="6"/>
        <v>07/19/2024</v>
      </c>
      <c r="E140" s="6" t="str">
        <f t="shared" si="7"/>
        <v>IWM US Index</v>
      </c>
      <c r="F140" s="5">
        <f t="shared" si="8"/>
        <v>-5.0929112181691731E-3</v>
      </c>
    </row>
    <row r="141" spans="1:6" x14ac:dyDescent="0.35">
      <c r="A141" s="10">
        <v>45495</v>
      </c>
      <c r="B141" s="9">
        <v>1.5910348644161434E-2</v>
      </c>
      <c r="D141" s="6" t="str">
        <f t="shared" si="6"/>
        <v>07/22/2024</v>
      </c>
      <c r="E141" s="6" t="str">
        <f t="shared" si="7"/>
        <v>IWM US Index</v>
      </c>
      <c r="F141" s="5">
        <f t="shared" si="8"/>
        <v>1.5910348644161434E-2</v>
      </c>
    </row>
    <row r="142" spans="1:6" x14ac:dyDescent="0.35">
      <c r="A142" s="8">
        <v>45496</v>
      </c>
      <c r="B142" s="7">
        <v>1.0622361432657058E-2</v>
      </c>
      <c r="D142" s="6" t="str">
        <f t="shared" si="6"/>
        <v>07/23/2024</v>
      </c>
      <c r="E142" s="6" t="str">
        <f t="shared" si="7"/>
        <v>IWM US Index</v>
      </c>
      <c r="F142" s="5">
        <f t="shared" si="8"/>
        <v>1.0622361432657058E-2</v>
      </c>
    </row>
    <row r="143" spans="1:6" x14ac:dyDescent="0.35">
      <c r="A143" s="10">
        <v>45497</v>
      </c>
      <c r="B143" s="9">
        <v>-2.1470601446346015E-2</v>
      </c>
      <c r="D143" s="6" t="str">
        <f t="shared" si="6"/>
        <v>07/24/2024</v>
      </c>
      <c r="E143" s="6" t="str">
        <f t="shared" si="7"/>
        <v>IWM US Index</v>
      </c>
      <c r="F143" s="5">
        <f t="shared" si="8"/>
        <v>-2.1470601446346015E-2</v>
      </c>
    </row>
    <row r="144" spans="1:6" x14ac:dyDescent="0.35">
      <c r="A144" s="8">
        <v>45498</v>
      </c>
      <c r="B144" s="7">
        <v>1.2485655267385853E-2</v>
      </c>
      <c r="D144" s="6" t="str">
        <f t="shared" si="6"/>
        <v>07/25/2024</v>
      </c>
      <c r="E144" s="6" t="str">
        <f t="shared" si="7"/>
        <v>IWM US Index</v>
      </c>
      <c r="F144" s="5">
        <f t="shared" si="8"/>
        <v>1.2485655267385853E-2</v>
      </c>
    </row>
    <row r="145" spans="1:6" x14ac:dyDescent="0.35">
      <c r="A145" s="10">
        <v>45499</v>
      </c>
      <c r="B145" s="9">
        <v>1.6548034637530101E-2</v>
      </c>
      <c r="D145" s="6" t="str">
        <f t="shared" si="6"/>
        <v>07/26/2024</v>
      </c>
      <c r="E145" s="6" t="str">
        <f t="shared" si="7"/>
        <v>IWM US Index</v>
      </c>
      <c r="F145" s="5">
        <f t="shared" si="8"/>
        <v>1.6548034637530101E-2</v>
      </c>
    </row>
    <row r="146" spans="1:6" x14ac:dyDescent="0.35">
      <c r="A146" s="8">
        <v>45502</v>
      </c>
      <c r="B146" s="7">
        <v>-1.1105164570511243E-2</v>
      </c>
      <c r="D146" s="6" t="str">
        <f t="shared" si="6"/>
        <v>07/29/2024</v>
      </c>
      <c r="E146" s="6" t="str">
        <f t="shared" si="7"/>
        <v>IWM US Index</v>
      </c>
      <c r="F146" s="5">
        <f t="shared" si="8"/>
        <v>-1.1105164570511243E-2</v>
      </c>
    </row>
    <row r="147" spans="1:6" x14ac:dyDescent="0.35">
      <c r="A147" s="10">
        <v>45503</v>
      </c>
      <c r="B147" s="9">
        <v>3.7883912867001496E-3</v>
      </c>
      <c r="D147" s="6" t="str">
        <f t="shared" si="6"/>
        <v>07/30/2024</v>
      </c>
      <c r="E147" s="6" t="str">
        <f t="shared" si="7"/>
        <v>IWM US Index</v>
      </c>
      <c r="F147" s="5">
        <f t="shared" si="8"/>
        <v>3.7883912867001496E-3</v>
      </c>
    </row>
    <row r="148" spans="1:6" x14ac:dyDescent="0.35">
      <c r="A148" s="8">
        <v>45504</v>
      </c>
      <c r="B148" s="7">
        <v>5.7959293705352058E-3</v>
      </c>
      <c r="D148" s="6" t="str">
        <f t="shared" si="6"/>
        <v>07/31/2024</v>
      </c>
      <c r="E148" s="6" t="str">
        <f t="shared" si="7"/>
        <v>IWM US Index</v>
      </c>
      <c r="F148" s="5">
        <f t="shared" si="8"/>
        <v>5.7959293705352058E-3</v>
      </c>
    </row>
    <row r="149" spans="1:6" x14ac:dyDescent="0.35">
      <c r="A149" s="10">
        <v>45505</v>
      </c>
      <c r="B149" s="9">
        <v>-3.2520325203252036E-2</v>
      </c>
      <c r="D149" s="6" t="str">
        <f t="shared" si="6"/>
        <v>08/01/2024</v>
      </c>
      <c r="E149" s="6" t="str">
        <f t="shared" si="7"/>
        <v>IWM US Index</v>
      </c>
      <c r="F149" s="5">
        <f t="shared" si="8"/>
        <v>-3.2520325203252036E-2</v>
      </c>
    </row>
    <row r="150" spans="1:6" x14ac:dyDescent="0.35">
      <c r="A150" s="8">
        <v>45506</v>
      </c>
      <c r="B150" s="7">
        <v>-3.5367993351186823E-2</v>
      </c>
      <c r="D150" s="6" t="str">
        <f t="shared" si="6"/>
        <v>08/02/2024</v>
      </c>
      <c r="E150" s="6" t="str">
        <f t="shared" si="7"/>
        <v>IWM US Index</v>
      </c>
      <c r="F150" s="5">
        <f t="shared" si="8"/>
        <v>-3.5367993351186823E-2</v>
      </c>
    </row>
    <row r="151" spans="1:6" x14ac:dyDescent="0.35">
      <c r="A151" s="10">
        <v>45509</v>
      </c>
      <c r="B151" s="9">
        <v>-3.2165422171165976E-2</v>
      </c>
      <c r="D151" s="6" t="str">
        <f t="shared" si="6"/>
        <v>08/05/2024</v>
      </c>
      <c r="E151" s="6" t="str">
        <f t="shared" si="7"/>
        <v>IWM US Index</v>
      </c>
      <c r="F151" s="5">
        <f t="shared" si="8"/>
        <v>-3.2165422171165976E-2</v>
      </c>
    </row>
    <row r="152" spans="1:6" x14ac:dyDescent="0.35">
      <c r="A152" s="8">
        <v>45510</v>
      </c>
      <c r="B152" s="7">
        <v>1.0880316518298854E-2</v>
      </c>
      <c r="D152" s="6" t="str">
        <f t="shared" si="6"/>
        <v>08/06/2024</v>
      </c>
      <c r="E152" s="6" t="str">
        <f t="shared" si="7"/>
        <v>IWM US Index</v>
      </c>
      <c r="F152" s="5">
        <f t="shared" si="8"/>
        <v>1.0880316518298854E-2</v>
      </c>
    </row>
    <row r="153" spans="1:6" x14ac:dyDescent="0.35">
      <c r="A153" s="10">
        <v>45511</v>
      </c>
      <c r="B153" s="9">
        <v>-1.1839530332681113E-2</v>
      </c>
      <c r="D153" s="6" t="str">
        <f t="shared" si="6"/>
        <v>08/07/2024</v>
      </c>
      <c r="E153" s="6" t="str">
        <f t="shared" si="7"/>
        <v>IWM US Index</v>
      </c>
      <c r="F153" s="5">
        <f t="shared" si="8"/>
        <v>-1.1839530332681113E-2</v>
      </c>
    </row>
    <row r="154" spans="1:6" x14ac:dyDescent="0.35">
      <c r="A154" s="8">
        <v>45512</v>
      </c>
      <c r="B154" s="7">
        <v>2.4309337558174049E-2</v>
      </c>
      <c r="D154" s="6" t="str">
        <f t="shared" si="6"/>
        <v>08/08/2024</v>
      </c>
      <c r="E154" s="6" t="str">
        <f t="shared" si="7"/>
        <v>IWM US Index</v>
      </c>
      <c r="F154" s="5">
        <f t="shared" si="8"/>
        <v>2.4309337558174049E-2</v>
      </c>
    </row>
    <row r="155" spans="1:6" x14ac:dyDescent="0.35">
      <c r="A155" s="10">
        <v>45513</v>
      </c>
      <c r="B155" s="9">
        <v>-2.0783991493062461E-3</v>
      </c>
      <c r="D155" s="6" t="str">
        <f t="shared" si="6"/>
        <v>08/09/2024</v>
      </c>
      <c r="E155" s="6" t="str">
        <f t="shared" si="7"/>
        <v>IWM US Index</v>
      </c>
      <c r="F155" s="5">
        <f t="shared" si="8"/>
        <v>-2.0783991493062461E-3</v>
      </c>
    </row>
    <row r="156" spans="1:6" x14ac:dyDescent="0.35">
      <c r="A156" s="8">
        <v>45516</v>
      </c>
      <c r="B156" s="7">
        <v>-9.0090090090090714E-3</v>
      </c>
      <c r="D156" s="6" t="str">
        <f t="shared" si="6"/>
        <v>08/12/2024</v>
      </c>
      <c r="E156" s="6" t="str">
        <f t="shared" si="7"/>
        <v>IWM US Index</v>
      </c>
      <c r="F156" s="5">
        <f t="shared" si="8"/>
        <v>-9.0090090090090714E-3</v>
      </c>
    </row>
    <row r="157" spans="1:6" x14ac:dyDescent="0.35">
      <c r="A157" s="10">
        <v>45517</v>
      </c>
      <c r="B157" s="9">
        <v>1.6471163245356777E-2</v>
      </c>
      <c r="D157" s="6" t="str">
        <f t="shared" si="6"/>
        <v>08/13/2024</v>
      </c>
      <c r="E157" s="6" t="str">
        <f t="shared" si="7"/>
        <v>IWM US Index</v>
      </c>
      <c r="F157" s="5">
        <f t="shared" si="8"/>
        <v>1.6471163245356777E-2</v>
      </c>
    </row>
    <row r="158" spans="1:6" x14ac:dyDescent="0.35">
      <c r="A158" s="8">
        <v>45518</v>
      </c>
      <c r="B158" s="7">
        <v>-6.2028177140933428E-3</v>
      </c>
      <c r="D158" s="6" t="str">
        <f t="shared" si="6"/>
        <v>08/14/2024</v>
      </c>
      <c r="E158" s="6" t="str">
        <f t="shared" si="7"/>
        <v>IWM US Index</v>
      </c>
      <c r="F158" s="5">
        <f t="shared" si="8"/>
        <v>-6.2028177140933428E-3</v>
      </c>
    </row>
    <row r="159" spans="1:6" x14ac:dyDescent="0.35">
      <c r="A159" s="10">
        <v>45519</v>
      </c>
      <c r="B159" s="9">
        <v>2.5933810721888863E-2</v>
      </c>
      <c r="D159" s="6" t="str">
        <f t="shared" si="6"/>
        <v>08/15/2024</v>
      </c>
      <c r="E159" s="6" t="str">
        <f t="shared" si="7"/>
        <v>IWM US Index</v>
      </c>
      <c r="F159" s="5">
        <f t="shared" si="8"/>
        <v>2.5933810721888863E-2</v>
      </c>
    </row>
    <row r="160" spans="1:6" x14ac:dyDescent="0.35">
      <c r="A160" s="8">
        <v>45520</v>
      </c>
      <c r="B160" s="7">
        <v>2.6410111299753742E-3</v>
      </c>
      <c r="D160" s="6" t="str">
        <f t="shared" si="6"/>
        <v>08/16/2024</v>
      </c>
      <c r="E160" s="6" t="str">
        <f t="shared" si="7"/>
        <v>IWM US Index</v>
      </c>
      <c r="F160" s="5">
        <f t="shared" si="8"/>
        <v>2.6410111299753742E-3</v>
      </c>
    </row>
    <row r="161" spans="1:6" x14ac:dyDescent="0.35">
      <c r="A161" s="10">
        <v>45523</v>
      </c>
      <c r="B161" s="9">
        <v>1.2229539040451612E-2</v>
      </c>
      <c r="D161" s="6" t="str">
        <f t="shared" si="6"/>
        <v>08/19/2024</v>
      </c>
      <c r="E161" s="6" t="str">
        <f t="shared" si="7"/>
        <v>IWM US Index</v>
      </c>
      <c r="F161" s="5">
        <f t="shared" si="8"/>
        <v>1.2229539040451612E-2</v>
      </c>
    </row>
    <row r="162" spans="1:6" x14ac:dyDescent="0.35">
      <c r="A162" s="8">
        <v>45524</v>
      </c>
      <c r="B162" s="7">
        <v>-1.166356877323421E-2</v>
      </c>
      <c r="D162" s="6" t="str">
        <f t="shared" si="6"/>
        <v>08/20/2024</v>
      </c>
      <c r="E162" s="6" t="str">
        <f t="shared" si="7"/>
        <v>IWM US Index</v>
      </c>
      <c r="F162" s="5">
        <f t="shared" si="8"/>
        <v>-1.166356877323421E-2</v>
      </c>
    </row>
    <row r="163" spans="1:6" x14ac:dyDescent="0.35">
      <c r="A163" s="10">
        <v>45525</v>
      </c>
      <c r="B163" s="9">
        <v>1.3023649442851193E-2</v>
      </c>
      <c r="D163" s="6" t="str">
        <f t="shared" si="6"/>
        <v>08/21/2024</v>
      </c>
      <c r="E163" s="6" t="str">
        <f t="shared" si="7"/>
        <v>IWM US Index</v>
      </c>
      <c r="F163" s="5">
        <f t="shared" si="8"/>
        <v>1.3023649442851193E-2</v>
      </c>
    </row>
    <row r="164" spans="1:6" x14ac:dyDescent="0.35">
      <c r="A164" s="8">
        <v>45526</v>
      </c>
      <c r="B164" s="7">
        <v>-8.8183421516755366E-3</v>
      </c>
      <c r="D164" s="6" t="str">
        <f t="shared" si="6"/>
        <v>08/22/2024</v>
      </c>
      <c r="E164" s="6" t="str">
        <f t="shared" si="7"/>
        <v>IWM US Index</v>
      </c>
      <c r="F164" s="5">
        <f t="shared" si="8"/>
        <v>-8.8183421516755366E-3</v>
      </c>
    </row>
    <row r="165" spans="1:6" x14ac:dyDescent="0.35">
      <c r="A165" s="10">
        <v>45527</v>
      </c>
      <c r="B165" s="9">
        <v>3.1934819254542009E-2</v>
      </c>
      <c r="D165" s="6" t="str">
        <f t="shared" si="6"/>
        <v>08/23/2024</v>
      </c>
      <c r="E165" s="6" t="str">
        <f t="shared" si="7"/>
        <v>IWM US Index</v>
      </c>
      <c r="F165" s="5">
        <f t="shared" si="8"/>
        <v>3.1934819254542009E-2</v>
      </c>
    </row>
    <row r="166" spans="1:6" x14ac:dyDescent="0.35">
      <c r="A166" s="8">
        <v>45530</v>
      </c>
      <c r="B166" s="7">
        <v>3.1763317905428426E-4</v>
      </c>
      <c r="D166" s="6" t="str">
        <f t="shared" si="6"/>
        <v>08/26/2024</v>
      </c>
      <c r="E166" s="6" t="str">
        <f t="shared" si="7"/>
        <v>IWM US Index</v>
      </c>
      <c r="F166" s="5">
        <f t="shared" si="8"/>
        <v>3.1763317905428426E-4</v>
      </c>
    </row>
    <row r="167" spans="1:6" x14ac:dyDescent="0.35">
      <c r="A167" s="10">
        <v>45531</v>
      </c>
      <c r="B167" s="9">
        <v>-7.7568609662053822E-3</v>
      </c>
      <c r="D167" s="6" t="str">
        <f t="shared" si="6"/>
        <v>08/27/2024</v>
      </c>
      <c r="E167" s="6" t="str">
        <f t="shared" si="7"/>
        <v>IWM US Index</v>
      </c>
      <c r="F167" s="5">
        <f t="shared" si="8"/>
        <v>-7.7568609662053822E-3</v>
      </c>
    </row>
    <row r="168" spans="1:6" x14ac:dyDescent="0.35">
      <c r="A168" s="8">
        <v>45532</v>
      </c>
      <c r="B168" s="7">
        <v>-6.7660235896498094E-3</v>
      </c>
      <c r="D168" s="6" t="str">
        <f t="shared" si="6"/>
        <v>08/28/2024</v>
      </c>
      <c r="E168" s="6" t="str">
        <f t="shared" si="7"/>
        <v>IWM US Index</v>
      </c>
      <c r="F168" s="5">
        <f t="shared" si="8"/>
        <v>-6.7660235896498094E-3</v>
      </c>
    </row>
    <row r="169" spans="1:6" x14ac:dyDescent="0.35">
      <c r="A169" s="10">
        <v>45533</v>
      </c>
      <c r="B169" s="9">
        <v>7.1343091227101677E-3</v>
      </c>
      <c r="D169" s="6" t="str">
        <f t="shared" si="6"/>
        <v>08/29/2024</v>
      </c>
      <c r="E169" s="6" t="str">
        <f t="shared" si="7"/>
        <v>IWM US Index</v>
      </c>
      <c r="F169" s="5">
        <f t="shared" si="8"/>
        <v>7.1343091227101677E-3</v>
      </c>
    </row>
    <row r="170" spans="1:6" x14ac:dyDescent="0.35">
      <c r="A170" s="8">
        <v>45534</v>
      </c>
      <c r="B170" s="7">
        <v>5.804122297883978E-3</v>
      </c>
      <c r="D170" s="6" t="str">
        <f t="shared" si="6"/>
        <v>08/30/2024</v>
      </c>
      <c r="E170" s="6" t="str">
        <f t="shared" si="7"/>
        <v>IWM US Index</v>
      </c>
      <c r="F170" s="5">
        <f t="shared" si="8"/>
        <v>5.804122297883978E-3</v>
      </c>
    </row>
    <row r="171" spans="1:6" x14ac:dyDescent="0.35">
      <c r="A171" s="10">
        <v>45538</v>
      </c>
      <c r="B171" s="9">
        <v>-3.0579789167575464E-2</v>
      </c>
      <c r="D171" s="6" t="str">
        <f t="shared" si="6"/>
        <v>09/03/2024</v>
      </c>
      <c r="E171" s="6" t="str">
        <f t="shared" si="7"/>
        <v>IWM US Index</v>
      </c>
      <c r="F171" s="5">
        <f t="shared" si="8"/>
        <v>-3.0579789167575464E-2</v>
      </c>
    </row>
    <row r="172" spans="1:6" x14ac:dyDescent="0.35">
      <c r="A172" s="8">
        <v>45539</v>
      </c>
      <c r="B172" s="7">
        <v>-1.6873681743613128E-3</v>
      </c>
      <c r="D172" s="6" t="str">
        <f t="shared" si="6"/>
        <v>09/04/2024</v>
      </c>
      <c r="E172" s="6" t="str">
        <f t="shared" si="7"/>
        <v>IWM US Index</v>
      </c>
      <c r="F172" s="5">
        <f t="shared" si="8"/>
        <v>-1.6873681743613128E-3</v>
      </c>
    </row>
    <row r="173" spans="1:6" x14ac:dyDescent="0.35">
      <c r="A173" s="10">
        <v>45540</v>
      </c>
      <c r="B173" s="9">
        <v>-4.976759472275767E-3</v>
      </c>
      <c r="D173" s="6" t="str">
        <f t="shared" si="6"/>
        <v>09/05/2024</v>
      </c>
      <c r="E173" s="6" t="str">
        <f t="shared" si="7"/>
        <v>IWM US Index</v>
      </c>
      <c r="F173" s="5">
        <f t="shared" si="8"/>
        <v>-4.976759472275767E-3</v>
      </c>
    </row>
    <row r="174" spans="1:6" x14ac:dyDescent="0.35">
      <c r="A174" s="8">
        <v>45541</v>
      </c>
      <c r="B174" s="7">
        <v>-1.9015712735337139E-2</v>
      </c>
      <c r="D174" s="6" t="str">
        <f t="shared" si="6"/>
        <v>09/06/2024</v>
      </c>
      <c r="E174" s="6" t="str">
        <f t="shared" si="7"/>
        <v>IWM US Index</v>
      </c>
      <c r="F174" s="5">
        <f t="shared" si="8"/>
        <v>-1.9015712735337139E-2</v>
      </c>
    </row>
    <row r="175" spans="1:6" x14ac:dyDescent="0.35">
      <c r="A175" s="10">
        <v>45544</v>
      </c>
      <c r="B175" s="9">
        <v>2.7898027898028178E-3</v>
      </c>
      <c r="D175" s="6" t="str">
        <f t="shared" si="6"/>
        <v>09/09/2024</v>
      </c>
      <c r="E175" s="6" t="str">
        <f t="shared" si="7"/>
        <v>IWM US Index</v>
      </c>
      <c r="F175" s="5">
        <f t="shared" si="8"/>
        <v>2.7898027898028178E-3</v>
      </c>
    </row>
    <row r="176" spans="1:6" x14ac:dyDescent="0.35">
      <c r="A176" s="8">
        <v>45545</v>
      </c>
      <c r="B176" s="7">
        <v>-8.1542594013817905E-4</v>
      </c>
      <c r="D176" s="6" t="str">
        <f t="shared" si="6"/>
        <v>09/10/2024</v>
      </c>
      <c r="E176" s="6" t="str">
        <f t="shared" si="7"/>
        <v>IWM US Index</v>
      </c>
      <c r="F176" s="5">
        <f t="shared" si="8"/>
        <v>-8.1542594013817905E-4</v>
      </c>
    </row>
    <row r="177" spans="1:6" x14ac:dyDescent="0.35">
      <c r="A177" s="10">
        <v>45546</v>
      </c>
      <c r="B177" s="9">
        <v>2.9283279727329008E-3</v>
      </c>
      <c r="D177" s="6" t="str">
        <f t="shared" si="6"/>
        <v>09/11/2024</v>
      </c>
      <c r="E177" s="6" t="str">
        <f t="shared" si="7"/>
        <v>IWM US Index</v>
      </c>
      <c r="F177" s="5">
        <f t="shared" si="8"/>
        <v>2.9283279727329008E-3</v>
      </c>
    </row>
    <row r="178" spans="1:6" x14ac:dyDescent="0.35">
      <c r="A178" s="8">
        <v>45547</v>
      </c>
      <c r="B178" s="7">
        <v>1.2875741910779358E-2</v>
      </c>
      <c r="D178" s="6" t="str">
        <f t="shared" si="6"/>
        <v>09/12/2024</v>
      </c>
      <c r="E178" s="6" t="str">
        <f t="shared" si="7"/>
        <v>IWM US Index</v>
      </c>
      <c r="F178" s="5">
        <f t="shared" si="8"/>
        <v>1.2875741910779358E-2</v>
      </c>
    </row>
    <row r="179" spans="1:6" x14ac:dyDescent="0.35">
      <c r="A179" s="10">
        <v>45548</v>
      </c>
      <c r="B179" s="9">
        <v>2.4668021360049128E-2</v>
      </c>
      <c r="D179" s="6" t="str">
        <f t="shared" si="6"/>
        <v>09/13/2024</v>
      </c>
      <c r="E179" s="6" t="str">
        <f t="shared" si="7"/>
        <v>IWM US Index</v>
      </c>
      <c r="F179" s="5">
        <f t="shared" si="8"/>
        <v>2.4668021360049128E-2</v>
      </c>
    </row>
    <row r="180" spans="1:6" x14ac:dyDescent="0.35">
      <c r="A180" s="8">
        <v>45551</v>
      </c>
      <c r="B180" s="7">
        <v>3.5972881981275566E-3</v>
      </c>
      <c r="D180" s="6" t="str">
        <f t="shared" si="6"/>
        <v>09/16/2024</v>
      </c>
      <c r="E180" s="6" t="str">
        <f t="shared" si="7"/>
        <v>IWM US Index</v>
      </c>
      <c r="F180" s="5">
        <f t="shared" si="8"/>
        <v>3.5972881981275566E-3</v>
      </c>
    </row>
    <row r="181" spans="1:6" x14ac:dyDescent="0.35">
      <c r="A181" s="10">
        <v>45552</v>
      </c>
      <c r="B181" s="9">
        <v>8.2716786912365569E-3</v>
      </c>
      <c r="D181" s="6" t="str">
        <f t="shared" si="6"/>
        <v>09/17/2024</v>
      </c>
      <c r="E181" s="6" t="str">
        <f t="shared" si="7"/>
        <v>IWM US Index</v>
      </c>
      <c r="F181" s="5">
        <f t="shared" si="8"/>
        <v>8.2716786912365569E-3</v>
      </c>
    </row>
    <row r="182" spans="1:6" x14ac:dyDescent="0.35">
      <c r="A182" s="8">
        <v>45553</v>
      </c>
      <c r="B182" s="7">
        <v>1.8230709630371659E-4</v>
      </c>
      <c r="D182" s="6" t="str">
        <f t="shared" si="6"/>
        <v>09/18/2024</v>
      </c>
      <c r="E182" s="6" t="str">
        <f t="shared" si="7"/>
        <v>IWM US Index</v>
      </c>
      <c r="F182" s="5">
        <f t="shared" si="8"/>
        <v>1.8230709630371659E-4</v>
      </c>
    </row>
    <row r="183" spans="1:6" x14ac:dyDescent="0.35">
      <c r="A183" s="10">
        <v>45554</v>
      </c>
      <c r="B183" s="9">
        <v>2.0596946912736495E-2</v>
      </c>
      <c r="D183" s="6" t="str">
        <f t="shared" si="6"/>
        <v>09/19/2024</v>
      </c>
      <c r="E183" s="6" t="str">
        <f t="shared" si="7"/>
        <v>IWM US Index</v>
      </c>
      <c r="F183" s="5">
        <f t="shared" si="8"/>
        <v>2.0596946912736495E-2</v>
      </c>
    </row>
    <row r="184" spans="1:6" x14ac:dyDescent="0.35">
      <c r="A184" s="8">
        <v>45555</v>
      </c>
      <c r="B184" s="7">
        <v>-1.0715720855471806E-2</v>
      </c>
      <c r="D184" s="6" t="str">
        <f t="shared" si="6"/>
        <v>09/20/2024</v>
      </c>
      <c r="E184" s="6" t="str">
        <f t="shared" si="7"/>
        <v>IWM US Index</v>
      </c>
      <c r="F184" s="5">
        <f t="shared" si="8"/>
        <v>-1.0715720855471806E-2</v>
      </c>
    </row>
    <row r="185" spans="1:6" x14ac:dyDescent="0.35">
      <c r="A185" s="10">
        <v>45558</v>
      </c>
      <c r="B185" s="9">
        <v>-3.6557295662770733E-3</v>
      </c>
      <c r="D185" s="6" t="str">
        <f t="shared" si="6"/>
        <v>09/23/2024</v>
      </c>
      <c r="E185" s="6" t="str">
        <f t="shared" si="7"/>
        <v>IWM US Index</v>
      </c>
      <c r="F185" s="5">
        <f t="shared" si="8"/>
        <v>-3.6557295662770733E-3</v>
      </c>
    </row>
    <row r="186" spans="1:6" x14ac:dyDescent="0.35">
      <c r="A186" s="8">
        <v>45559</v>
      </c>
      <c r="B186" s="7">
        <v>1.676028265990343E-3</v>
      </c>
      <c r="D186" s="6" t="str">
        <f t="shared" si="6"/>
        <v>09/24/2024</v>
      </c>
      <c r="E186" s="6" t="str">
        <f t="shared" si="7"/>
        <v>IWM US Index</v>
      </c>
      <c r="F186" s="5">
        <f t="shared" si="8"/>
        <v>1.676028265990343E-3</v>
      </c>
    </row>
    <row r="187" spans="1:6" x14ac:dyDescent="0.35">
      <c r="A187" s="10">
        <v>45560</v>
      </c>
      <c r="B187" s="9">
        <v>-1.2154872699317244E-2</v>
      </c>
      <c r="D187" s="6" t="str">
        <f t="shared" si="6"/>
        <v>09/25/2024</v>
      </c>
      <c r="E187" s="6" t="str">
        <f t="shared" si="7"/>
        <v>IWM US Index</v>
      </c>
      <c r="F187" s="5">
        <f t="shared" si="8"/>
        <v>-1.2154872699317244E-2</v>
      </c>
    </row>
    <row r="188" spans="1:6" x14ac:dyDescent="0.35">
      <c r="A188" s="8">
        <v>45561</v>
      </c>
      <c r="B188" s="7">
        <v>5.3286783958840572E-3</v>
      </c>
      <c r="D188" s="6" t="str">
        <f t="shared" si="6"/>
        <v>09/26/2024</v>
      </c>
      <c r="E188" s="6" t="str">
        <f t="shared" si="7"/>
        <v>IWM US Index</v>
      </c>
      <c r="F188" s="5">
        <f t="shared" si="8"/>
        <v>5.3286783958840572E-3</v>
      </c>
    </row>
    <row r="189" spans="1:6" x14ac:dyDescent="0.35">
      <c r="A189" s="10">
        <v>45562</v>
      </c>
      <c r="B189" s="9">
        <v>6.7626228010054384E-3</v>
      </c>
      <c r="D189" s="6" t="str">
        <f t="shared" si="6"/>
        <v>09/27/2024</v>
      </c>
      <c r="E189" s="6" t="str">
        <f t="shared" si="7"/>
        <v>IWM US Index</v>
      </c>
      <c r="F189" s="5">
        <f t="shared" si="8"/>
        <v>6.7626228010054384E-3</v>
      </c>
    </row>
    <row r="190" spans="1:6" x14ac:dyDescent="0.35">
      <c r="A190" s="8">
        <v>45565</v>
      </c>
      <c r="B190" s="7">
        <v>2.5416420823308862E-3</v>
      </c>
      <c r="D190" s="6" t="str">
        <f t="shared" si="6"/>
        <v>09/30/2024</v>
      </c>
      <c r="E190" s="6" t="str">
        <f t="shared" si="7"/>
        <v>IWM US Index</v>
      </c>
      <c r="F190" s="5">
        <f t="shared" si="8"/>
        <v>2.5416420823308862E-3</v>
      </c>
    </row>
    <row r="191" spans="1:6" x14ac:dyDescent="0.35">
      <c r="A191" s="10">
        <v>45566</v>
      </c>
      <c r="B191" s="9">
        <v>-1.3581420616596547E-2</v>
      </c>
      <c r="D191" s="6" t="str">
        <f t="shared" si="6"/>
        <v>10/01/2024</v>
      </c>
      <c r="E191" s="6" t="str">
        <f t="shared" si="7"/>
        <v>IWM US Index</v>
      </c>
      <c r="F191" s="5">
        <f t="shared" si="8"/>
        <v>-1.3581420616596547E-2</v>
      </c>
    </row>
    <row r="192" spans="1:6" x14ac:dyDescent="0.35">
      <c r="A192" s="8">
        <v>45567</v>
      </c>
      <c r="B192" s="7">
        <v>-1.3768415255402992E-3</v>
      </c>
      <c r="D192" s="6" t="str">
        <f t="shared" si="6"/>
        <v>10/02/2024</v>
      </c>
      <c r="E192" s="6" t="str">
        <f t="shared" si="7"/>
        <v>IWM US Index</v>
      </c>
      <c r="F192" s="5">
        <f t="shared" si="8"/>
        <v>-1.3768415255402992E-3</v>
      </c>
    </row>
    <row r="193" spans="1:6" x14ac:dyDescent="0.35">
      <c r="A193" s="10">
        <v>45568</v>
      </c>
      <c r="B193" s="9">
        <v>-6.7098671813962223E-3</v>
      </c>
      <c r="D193" s="6" t="str">
        <f t="shared" si="6"/>
        <v>10/03/2024</v>
      </c>
      <c r="E193" s="6" t="str">
        <f t="shared" si="7"/>
        <v>IWM US Index</v>
      </c>
      <c r="F193" s="5">
        <f t="shared" si="8"/>
        <v>-6.7098671813962223E-3</v>
      </c>
    </row>
    <row r="194" spans="1:6" x14ac:dyDescent="0.35">
      <c r="A194" s="8">
        <v>45569</v>
      </c>
      <c r="B194" s="7">
        <v>1.3973071762365331E-2</v>
      </c>
      <c r="D194" s="6" t="str">
        <f t="shared" si="6"/>
        <v>10/04/2024</v>
      </c>
      <c r="E194" s="6" t="str">
        <f t="shared" si="7"/>
        <v>IWM US Index</v>
      </c>
      <c r="F194" s="5">
        <f t="shared" si="8"/>
        <v>1.3973071762365331E-2</v>
      </c>
    </row>
    <row r="195" spans="1:6" x14ac:dyDescent="0.35">
      <c r="A195" s="10">
        <v>45572</v>
      </c>
      <c r="B195" s="9">
        <v>-7.8485055897787835E-3</v>
      </c>
      <c r="D195" s="6" t="str">
        <f t="shared" ref="D195:D258" si="9">IF(A195 =  "", "",  TEXT(A195, "mm/dd/yyyy"))</f>
        <v>10/07/2024</v>
      </c>
      <c r="E195" s="6" t="str">
        <f t="shared" ref="E195:E258" si="10">IF(A195="", "", EntityLocal)</f>
        <v>IWM US Index</v>
      </c>
      <c r="F195" s="5">
        <f t="shared" ref="F195:F258" si="11">IF(B195="","", B195)</f>
        <v>-7.8485055897787835E-3</v>
      </c>
    </row>
    <row r="196" spans="1:6" x14ac:dyDescent="0.35">
      <c r="A196" s="8">
        <v>45573</v>
      </c>
      <c r="B196" s="7">
        <v>6.8987720185820797E-4</v>
      </c>
      <c r="D196" s="6" t="str">
        <f t="shared" si="9"/>
        <v>10/08/2024</v>
      </c>
      <c r="E196" s="6" t="str">
        <f t="shared" si="10"/>
        <v>IWM US Index</v>
      </c>
      <c r="F196" s="5">
        <f t="shared" si="11"/>
        <v>6.8987720185820797E-4</v>
      </c>
    </row>
    <row r="197" spans="1:6" x14ac:dyDescent="0.35">
      <c r="A197" s="10">
        <v>45574</v>
      </c>
      <c r="B197" s="9">
        <v>2.2060851181174247E-3</v>
      </c>
      <c r="D197" s="6" t="str">
        <f t="shared" si="9"/>
        <v>10/09/2024</v>
      </c>
      <c r="E197" s="6" t="str">
        <f t="shared" si="10"/>
        <v>IWM US Index</v>
      </c>
      <c r="F197" s="5">
        <f t="shared" si="11"/>
        <v>2.2060851181174247E-3</v>
      </c>
    </row>
    <row r="198" spans="1:6" x14ac:dyDescent="0.35">
      <c r="A198" s="8">
        <v>45575</v>
      </c>
      <c r="B198" s="7">
        <v>-5.5489314867468564E-3</v>
      </c>
      <c r="D198" s="6" t="str">
        <f t="shared" si="9"/>
        <v>10/10/2024</v>
      </c>
      <c r="E198" s="6" t="str">
        <f t="shared" si="10"/>
        <v>IWM US Index</v>
      </c>
      <c r="F198" s="5">
        <f t="shared" si="11"/>
        <v>-5.5489314867468564E-3</v>
      </c>
    </row>
    <row r="199" spans="1:6" x14ac:dyDescent="0.35">
      <c r="A199" s="10">
        <v>45576</v>
      </c>
      <c r="B199" s="9">
        <v>2.0336638229190664E-2</v>
      </c>
      <c r="D199" s="6" t="str">
        <f t="shared" si="9"/>
        <v>10/11/2024</v>
      </c>
      <c r="E199" s="6" t="str">
        <f t="shared" si="10"/>
        <v>IWM US Index</v>
      </c>
      <c r="F199" s="5">
        <f t="shared" si="11"/>
        <v>2.0336638229190664E-2</v>
      </c>
    </row>
    <row r="200" spans="1:6" x14ac:dyDescent="0.35">
      <c r="A200" s="8">
        <v>45579</v>
      </c>
      <c r="B200" s="7">
        <v>7.3668986712464328E-3</v>
      </c>
      <c r="D200" s="6" t="str">
        <f t="shared" si="9"/>
        <v>10/14/2024</v>
      </c>
      <c r="E200" s="6" t="str">
        <f t="shared" si="10"/>
        <v>IWM US Index</v>
      </c>
      <c r="F200" s="5">
        <f t="shared" si="11"/>
        <v>7.3668986712464328E-3</v>
      </c>
    </row>
    <row r="201" spans="1:6" x14ac:dyDescent="0.35">
      <c r="A201" s="10">
        <v>45580</v>
      </c>
      <c r="B201" s="9">
        <v>8.0757324240662951E-4</v>
      </c>
      <c r="D201" s="6" t="str">
        <f t="shared" si="9"/>
        <v>10/15/2024</v>
      </c>
      <c r="E201" s="6" t="str">
        <f t="shared" si="10"/>
        <v>IWM US Index</v>
      </c>
      <c r="F201" s="5">
        <f t="shared" si="11"/>
        <v>8.0757324240662951E-4</v>
      </c>
    </row>
    <row r="202" spans="1:6" x14ac:dyDescent="0.35">
      <c r="A202" s="8">
        <v>45581</v>
      </c>
      <c r="B202" s="7">
        <v>1.6452234724526015E-2</v>
      </c>
      <c r="D202" s="6" t="str">
        <f t="shared" si="9"/>
        <v>10/16/2024</v>
      </c>
      <c r="E202" s="6" t="str">
        <f t="shared" si="10"/>
        <v>IWM US Index</v>
      </c>
      <c r="F202" s="5">
        <f t="shared" si="11"/>
        <v>1.6452234724526015E-2</v>
      </c>
    </row>
    <row r="203" spans="1:6" x14ac:dyDescent="0.35">
      <c r="A203" s="10">
        <v>45582</v>
      </c>
      <c r="B203" s="9">
        <v>-2.7344094557643808E-3</v>
      </c>
      <c r="D203" s="6" t="str">
        <f t="shared" si="9"/>
        <v>10/17/2024</v>
      </c>
      <c r="E203" s="6" t="str">
        <f t="shared" si="10"/>
        <v>IWM US Index</v>
      </c>
      <c r="F203" s="5">
        <f t="shared" si="11"/>
        <v>-2.7344094557643808E-3</v>
      </c>
    </row>
    <row r="204" spans="1:6" x14ac:dyDescent="0.35">
      <c r="A204" s="8">
        <v>45583</v>
      </c>
      <c r="B204" s="7">
        <v>-2.0785423668847757E-3</v>
      </c>
      <c r="D204" s="6" t="str">
        <f t="shared" si="9"/>
        <v>10/18/2024</v>
      </c>
      <c r="E204" s="6" t="str">
        <f t="shared" si="10"/>
        <v>IWM US Index</v>
      </c>
      <c r="F204" s="5">
        <f t="shared" si="11"/>
        <v>-2.0785423668847757E-3</v>
      </c>
    </row>
    <row r="205" spans="1:6" x14ac:dyDescent="0.35">
      <c r="A205" s="10">
        <v>45586</v>
      </c>
      <c r="B205" s="9">
        <v>-1.5732328827830707E-2</v>
      </c>
      <c r="D205" s="6" t="str">
        <f t="shared" si="9"/>
        <v>10/21/2024</v>
      </c>
      <c r="E205" s="6" t="str">
        <f t="shared" si="10"/>
        <v>IWM US Index</v>
      </c>
      <c r="F205" s="5">
        <f t="shared" si="11"/>
        <v>-1.5732328827830707E-2</v>
      </c>
    </row>
    <row r="206" spans="1:6" x14ac:dyDescent="0.35">
      <c r="A206" s="8">
        <v>45587</v>
      </c>
      <c r="B206" s="7">
        <v>-3.7820801440793185E-3</v>
      </c>
      <c r="D206" s="6" t="str">
        <f t="shared" si="9"/>
        <v>10/22/2024</v>
      </c>
      <c r="E206" s="6" t="str">
        <f t="shared" si="10"/>
        <v>IWM US Index</v>
      </c>
      <c r="F206" s="5">
        <f t="shared" si="11"/>
        <v>-3.7820801440793185E-3</v>
      </c>
    </row>
    <row r="207" spans="1:6" x14ac:dyDescent="0.35">
      <c r="A207" s="10">
        <v>45588</v>
      </c>
      <c r="B207" s="9">
        <v>-9.1295308686612873E-3</v>
      </c>
      <c r="D207" s="6" t="str">
        <f t="shared" si="9"/>
        <v>10/23/2024</v>
      </c>
      <c r="E207" s="6" t="str">
        <f t="shared" si="10"/>
        <v>IWM US Index</v>
      </c>
      <c r="F207" s="5">
        <f t="shared" si="11"/>
        <v>-9.1295308686612873E-3</v>
      </c>
    </row>
    <row r="208" spans="1:6" x14ac:dyDescent="0.35">
      <c r="A208" s="8">
        <v>45589</v>
      </c>
      <c r="B208" s="7">
        <v>2.1893814997264072E-3</v>
      </c>
      <c r="D208" s="6" t="str">
        <f t="shared" si="9"/>
        <v>10/24/2024</v>
      </c>
      <c r="E208" s="6" t="str">
        <f t="shared" si="10"/>
        <v>IWM US Index</v>
      </c>
      <c r="F208" s="5">
        <f t="shared" si="11"/>
        <v>2.1893814997264072E-3</v>
      </c>
    </row>
    <row r="209" spans="1:6" x14ac:dyDescent="0.35">
      <c r="A209" s="10">
        <v>45590</v>
      </c>
      <c r="B209" s="9">
        <v>-3.7775350446022787E-3</v>
      </c>
      <c r="D209" s="6" t="str">
        <f t="shared" si="9"/>
        <v>10/25/2024</v>
      </c>
      <c r="E209" s="6" t="str">
        <f t="shared" si="10"/>
        <v>IWM US Index</v>
      </c>
      <c r="F209" s="5">
        <f t="shared" si="11"/>
        <v>-3.7775350446022787E-3</v>
      </c>
    </row>
    <row r="210" spans="1:6" x14ac:dyDescent="0.35">
      <c r="A210" s="8">
        <v>45593</v>
      </c>
      <c r="B210" s="7">
        <v>1.6309561880396579E-2</v>
      </c>
      <c r="D210" s="6" t="str">
        <f t="shared" si="9"/>
        <v>10/28/2024</v>
      </c>
      <c r="E210" s="6" t="str">
        <f t="shared" si="10"/>
        <v>IWM US Index</v>
      </c>
      <c r="F210" s="5">
        <f t="shared" si="11"/>
        <v>1.6309561880396579E-2</v>
      </c>
    </row>
    <row r="211" spans="1:6" x14ac:dyDescent="0.35">
      <c r="A211" s="10">
        <v>45594</v>
      </c>
      <c r="B211" s="9">
        <v>-3.2365369055110944E-3</v>
      </c>
      <c r="D211" s="6" t="str">
        <f t="shared" si="9"/>
        <v>10/29/2024</v>
      </c>
      <c r="E211" s="6" t="str">
        <f t="shared" si="10"/>
        <v>IWM US Index</v>
      </c>
      <c r="F211" s="5">
        <f t="shared" si="11"/>
        <v>-3.2365369055110944E-3</v>
      </c>
    </row>
    <row r="212" spans="1:6" x14ac:dyDescent="0.35">
      <c r="A212" s="8">
        <v>45595</v>
      </c>
      <c r="B212" s="7">
        <v>-1.3529358708397397E-3</v>
      </c>
      <c r="D212" s="6" t="str">
        <f t="shared" si="9"/>
        <v>10/30/2024</v>
      </c>
      <c r="E212" s="6" t="str">
        <f t="shared" si="10"/>
        <v>IWM US Index</v>
      </c>
      <c r="F212" s="5">
        <f t="shared" si="11"/>
        <v>-1.3529358708397397E-3</v>
      </c>
    </row>
    <row r="213" spans="1:6" x14ac:dyDescent="0.35">
      <c r="A213" s="10">
        <v>45596</v>
      </c>
      <c r="B213" s="9">
        <v>-1.6618497109826689E-2</v>
      </c>
      <c r="D213" s="6" t="str">
        <f t="shared" si="9"/>
        <v>10/31/2024</v>
      </c>
      <c r="E213" s="6" t="str">
        <f t="shared" si="10"/>
        <v>IWM US Index</v>
      </c>
      <c r="F213" s="5">
        <f t="shared" si="11"/>
        <v>-1.6618497109826689E-2</v>
      </c>
    </row>
    <row r="214" spans="1:6" x14ac:dyDescent="0.35">
      <c r="A214" s="8">
        <v>45597</v>
      </c>
      <c r="B214" s="7">
        <v>5.6024981631153364E-3</v>
      </c>
      <c r="D214" s="6" t="str">
        <f t="shared" si="9"/>
        <v>11/01/2024</v>
      </c>
      <c r="E214" s="6" t="str">
        <f t="shared" si="10"/>
        <v>IWM US Index</v>
      </c>
      <c r="F214" s="5">
        <f t="shared" si="11"/>
        <v>5.6024981631153364E-3</v>
      </c>
    </row>
    <row r="215" spans="1:6" x14ac:dyDescent="0.35">
      <c r="A215" s="10">
        <v>45600</v>
      </c>
      <c r="B215" s="9">
        <v>5.0689560690475709E-3</v>
      </c>
      <c r="D215" s="6" t="str">
        <f t="shared" si="9"/>
        <v>11/04/2024</v>
      </c>
      <c r="E215" s="6" t="str">
        <f t="shared" si="10"/>
        <v>IWM US Index</v>
      </c>
      <c r="F215" s="5">
        <f t="shared" si="11"/>
        <v>5.0689560690475709E-3</v>
      </c>
    </row>
    <row r="216" spans="1:6" x14ac:dyDescent="0.35">
      <c r="A216" s="8">
        <v>45601</v>
      </c>
      <c r="B216" s="7">
        <v>1.881048661911025E-2</v>
      </c>
      <c r="D216" s="6" t="str">
        <f t="shared" si="9"/>
        <v>11/05/2024</v>
      </c>
      <c r="E216" s="6" t="str">
        <f t="shared" si="10"/>
        <v>IWM US Index</v>
      </c>
      <c r="F216" s="5">
        <f t="shared" si="11"/>
        <v>1.881048661911025E-2</v>
      </c>
    </row>
    <row r="217" spans="1:6" x14ac:dyDescent="0.35">
      <c r="A217" s="10">
        <v>45602</v>
      </c>
      <c r="B217" s="9">
        <v>5.7931588101502951E-2</v>
      </c>
      <c r="D217" s="6" t="str">
        <f t="shared" si="9"/>
        <v>11/06/2024</v>
      </c>
      <c r="E217" s="6" t="str">
        <f t="shared" si="10"/>
        <v>IWM US Index</v>
      </c>
      <c r="F217" s="5">
        <f t="shared" si="11"/>
        <v>5.7931588101502951E-2</v>
      </c>
    </row>
    <row r="218" spans="1:6" x14ac:dyDescent="0.35">
      <c r="A218" s="8">
        <v>45603</v>
      </c>
      <c r="B218" s="7">
        <v>-3.5410167776746839E-3</v>
      </c>
      <c r="D218" s="6" t="str">
        <f t="shared" si="9"/>
        <v>11/07/2024</v>
      </c>
      <c r="E218" s="6" t="str">
        <f t="shared" si="10"/>
        <v>IWM US Index</v>
      </c>
      <c r="F218" s="5">
        <f t="shared" si="11"/>
        <v>-3.5410167776746839E-3</v>
      </c>
    </row>
    <row r="219" spans="1:6" x14ac:dyDescent="0.35">
      <c r="A219" s="10">
        <v>45604</v>
      </c>
      <c r="B219" s="9">
        <v>7.3610288518487187E-3</v>
      </c>
      <c r="D219" s="6" t="str">
        <f t="shared" si="9"/>
        <v>11/08/2024</v>
      </c>
      <c r="E219" s="6" t="str">
        <f t="shared" si="10"/>
        <v>IWM US Index</v>
      </c>
      <c r="F219" s="5">
        <f t="shared" si="11"/>
        <v>7.3610288518487187E-3</v>
      </c>
    </row>
    <row r="220" spans="1:6" x14ac:dyDescent="0.35">
      <c r="A220" s="8">
        <v>45607</v>
      </c>
      <c r="B220" s="7">
        <v>1.5034436418612391E-2</v>
      </c>
      <c r="D220" s="6" t="str">
        <f t="shared" si="9"/>
        <v>11/11/2024</v>
      </c>
      <c r="E220" s="6" t="str">
        <f t="shared" si="10"/>
        <v>IWM US Index</v>
      </c>
      <c r="F220" s="5">
        <f t="shared" si="11"/>
        <v>1.5034436418612391E-2</v>
      </c>
    </row>
    <row r="221" spans="1:6" x14ac:dyDescent="0.35">
      <c r="A221" s="10">
        <v>45608</v>
      </c>
      <c r="B221" s="9">
        <v>-1.7542407943731842E-2</v>
      </c>
      <c r="D221" s="6" t="str">
        <f t="shared" si="9"/>
        <v>11/12/2024</v>
      </c>
      <c r="E221" s="6" t="str">
        <f t="shared" si="10"/>
        <v>IWM US Index</v>
      </c>
      <c r="F221" s="5">
        <f t="shared" si="11"/>
        <v>-1.7542407943731842E-2</v>
      </c>
    </row>
    <row r="222" spans="1:6" x14ac:dyDescent="0.35">
      <c r="A222" s="8">
        <v>45609</v>
      </c>
      <c r="B222" s="7">
        <v>-9.8964036048175847E-3</v>
      </c>
      <c r="D222" s="6" t="str">
        <f t="shared" si="9"/>
        <v>11/13/2024</v>
      </c>
      <c r="E222" s="6" t="str">
        <f t="shared" si="10"/>
        <v>IWM US Index</v>
      </c>
      <c r="F222" s="5">
        <f t="shared" si="11"/>
        <v>-9.8964036048175847E-3</v>
      </c>
    </row>
    <row r="223" spans="1:6" x14ac:dyDescent="0.35">
      <c r="A223" s="10">
        <v>45610</v>
      </c>
      <c r="B223" s="9">
        <v>-1.348305048700617E-2</v>
      </c>
      <c r="D223" s="6" t="str">
        <f t="shared" si="9"/>
        <v>11/14/2024</v>
      </c>
      <c r="E223" s="6" t="str">
        <f t="shared" si="10"/>
        <v>IWM US Index</v>
      </c>
      <c r="F223" s="5">
        <f t="shared" si="11"/>
        <v>-1.348305048700617E-2</v>
      </c>
    </row>
    <row r="224" spans="1:6" x14ac:dyDescent="0.35">
      <c r="A224" s="8">
        <v>45611</v>
      </c>
      <c r="B224" s="7">
        <v>-1.4917651116668193E-2</v>
      </c>
      <c r="D224" s="6" t="str">
        <f t="shared" si="9"/>
        <v>11/15/2024</v>
      </c>
      <c r="E224" s="6" t="str">
        <f t="shared" si="10"/>
        <v>IWM US Index</v>
      </c>
      <c r="F224" s="5">
        <f t="shared" si="11"/>
        <v>-1.4917651116668193E-2</v>
      </c>
    </row>
    <row r="225" spans="1:6" x14ac:dyDescent="0.35">
      <c r="A225" s="10">
        <v>45614</v>
      </c>
      <c r="B225" s="9">
        <v>1.9695378151261995E-3</v>
      </c>
      <c r="D225" s="6" t="str">
        <f t="shared" si="9"/>
        <v>11/18/2024</v>
      </c>
      <c r="E225" s="6" t="str">
        <f t="shared" si="10"/>
        <v>IWM US Index</v>
      </c>
      <c r="F225" s="5">
        <f t="shared" si="11"/>
        <v>1.9695378151261995E-3</v>
      </c>
    </row>
    <row r="226" spans="1:6" x14ac:dyDescent="0.35">
      <c r="A226" s="8">
        <v>45615</v>
      </c>
      <c r="B226" s="7">
        <v>7.4258506967194542E-3</v>
      </c>
      <c r="D226" s="6" t="str">
        <f t="shared" si="9"/>
        <v>11/19/2024</v>
      </c>
      <c r="E226" s="6" t="str">
        <f t="shared" si="10"/>
        <v>IWM US Index</v>
      </c>
      <c r="F226" s="5">
        <f t="shared" si="11"/>
        <v>7.4258506967194542E-3</v>
      </c>
    </row>
    <row r="227" spans="1:6" x14ac:dyDescent="0.35">
      <c r="A227" s="10">
        <v>45616</v>
      </c>
      <c r="B227" s="9">
        <v>1.3007848068334732E-3</v>
      </c>
      <c r="D227" s="6" t="str">
        <f t="shared" si="9"/>
        <v>11/20/2024</v>
      </c>
      <c r="E227" s="6" t="str">
        <f t="shared" si="10"/>
        <v>IWM US Index</v>
      </c>
      <c r="F227" s="5">
        <f t="shared" si="11"/>
        <v>1.3007848068334732E-3</v>
      </c>
    </row>
    <row r="228" spans="1:6" x14ac:dyDescent="0.35">
      <c r="A228" s="8">
        <v>45617</v>
      </c>
      <c r="B228" s="7">
        <v>1.5199411076949654E-2</v>
      </c>
      <c r="D228" s="6" t="str">
        <f t="shared" si="9"/>
        <v>11/21/2024</v>
      </c>
      <c r="E228" s="6" t="str">
        <f t="shared" si="10"/>
        <v>IWM US Index</v>
      </c>
      <c r="F228" s="5">
        <f t="shared" si="11"/>
        <v>1.5199411076949654E-2</v>
      </c>
    </row>
    <row r="229" spans="1:6" x14ac:dyDescent="0.35">
      <c r="A229" s="10">
        <v>45618</v>
      </c>
      <c r="B229" s="9">
        <v>1.8469544446340306E-2</v>
      </c>
      <c r="D229" s="6" t="str">
        <f t="shared" si="9"/>
        <v>11/22/2024</v>
      </c>
      <c r="E229" s="6" t="str">
        <f t="shared" si="10"/>
        <v>IWM US Index</v>
      </c>
      <c r="F229" s="5">
        <f t="shared" si="11"/>
        <v>1.8469544446340306E-2</v>
      </c>
    </row>
    <row r="230" spans="1:6" x14ac:dyDescent="0.35">
      <c r="A230" s="8">
        <v>45621</v>
      </c>
      <c r="B230" s="7">
        <v>1.5202914939062706E-2</v>
      </c>
      <c r="D230" s="6" t="str">
        <f t="shared" si="9"/>
        <v>11/25/2024</v>
      </c>
      <c r="E230" s="6" t="str">
        <f t="shared" si="10"/>
        <v>IWM US Index</v>
      </c>
      <c r="F230" s="5">
        <f t="shared" si="11"/>
        <v>1.5202914939062706E-2</v>
      </c>
    </row>
    <row r="231" spans="1:6" x14ac:dyDescent="0.35">
      <c r="A231" s="10">
        <v>45622</v>
      </c>
      <c r="B231" s="9">
        <v>-7.3432343234324082E-3</v>
      </c>
      <c r="D231" s="6" t="str">
        <f t="shared" si="9"/>
        <v>11/26/2024</v>
      </c>
      <c r="E231" s="6" t="str">
        <f t="shared" si="10"/>
        <v>IWM US Index</v>
      </c>
      <c r="F231" s="5">
        <f t="shared" si="11"/>
        <v>-7.3432343234324082E-3</v>
      </c>
    </row>
    <row r="232" spans="1:6" x14ac:dyDescent="0.35">
      <c r="A232" s="8">
        <v>45623</v>
      </c>
      <c r="B232" s="7">
        <v>1.3714570692377501E-3</v>
      </c>
      <c r="D232" s="6" t="str">
        <f t="shared" si="9"/>
        <v>11/27/2024</v>
      </c>
      <c r="E232" s="6" t="str">
        <f t="shared" si="10"/>
        <v>IWM US Index</v>
      </c>
      <c r="F232" s="5">
        <f t="shared" si="11"/>
        <v>1.3714570692377501E-3</v>
      </c>
    </row>
    <row r="233" spans="1:6" x14ac:dyDescent="0.35">
      <c r="A233" s="10">
        <v>45625</v>
      </c>
      <c r="B233" s="9">
        <v>3.8182195476240701E-3</v>
      </c>
      <c r="D233" s="6" t="str">
        <f t="shared" si="9"/>
        <v>11/29/2024</v>
      </c>
      <c r="E233" s="6" t="str">
        <f t="shared" si="10"/>
        <v>IWM US Index</v>
      </c>
      <c r="F233" s="5">
        <f t="shared" si="11"/>
        <v>3.8182195476240701E-3</v>
      </c>
    </row>
    <row r="234" spans="1:6" x14ac:dyDescent="0.35">
      <c r="A234" s="8">
        <v>45628</v>
      </c>
      <c r="B234" s="7">
        <v>-4.9613428701364491E-4</v>
      </c>
      <c r="D234" s="6" t="str">
        <f t="shared" si="9"/>
        <v>12/02/2024</v>
      </c>
      <c r="E234" s="6" t="str">
        <f t="shared" si="10"/>
        <v>IWM US Index</v>
      </c>
      <c r="F234" s="5">
        <f t="shared" si="11"/>
        <v>-4.9613428701364491E-4</v>
      </c>
    </row>
    <row r="235" spans="1:6" x14ac:dyDescent="0.35">
      <c r="A235" s="10">
        <v>45629</v>
      </c>
      <c r="B235" s="9">
        <v>-7.1147880041365899E-3</v>
      </c>
      <c r="D235" s="6" t="str">
        <f t="shared" si="9"/>
        <v>12/03/2024</v>
      </c>
      <c r="E235" s="6" t="str">
        <f t="shared" si="10"/>
        <v>IWM US Index</v>
      </c>
      <c r="F235" s="5">
        <f t="shared" si="11"/>
        <v>-7.1147880041365899E-3</v>
      </c>
    </row>
    <row r="236" spans="1:6" x14ac:dyDescent="0.35">
      <c r="A236" s="8">
        <v>45630</v>
      </c>
      <c r="B236" s="7">
        <v>3.5828854726492367E-3</v>
      </c>
      <c r="D236" s="6" t="str">
        <f t="shared" si="9"/>
        <v>12/04/2024</v>
      </c>
      <c r="E236" s="6" t="str">
        <f t="shared" si="10"/>
        <v>IWM US Index</v>
      </c>
      <c r="F236" s="5">
        <f t="shared" si="11"/>
        <v>3.5828854726492367E-3</v>
      </c>
    </row>
    <row r="237" spans="1:6" x14ac:dyDescent="0.35">
      <c r="A237" s="10">
        <v>45631</v>
      </c>
      <c r="B237" s="9">
        <v>-1.1665075345593282E-2</v>
      </c>
      <c r="D237" s="6" t="str">
        <f t="shared" si="9"/>
        <v>12/05/2024</v>
      </c>
      <c r="E237" s="6" t="str">
        <f t="shared" si="10"/>
        <v>IWM US Index</v>
      </c>
      <c r="F237" s="5">
        <f t="shared" si="11"/>
        <v>-1.1665075345593282E-2</v>
      </c>
    </row>
    <row r="238" spans="1:6" x14ac:dyDescent="0.35">
      <c r="A238" s="8">
        <v>45632</v>
      </c>
      <c r="B238" s="7">
        <v>3.5702284946236237E-3</v>
      </c>
      <c r="D238" s="6" t="str">
        <f t="shared" si="9"/>
        <v>12/06/2024</v>
      </c>
      <c r="E238" s="6" t="str">
        <f t="shared" si="10"/>
        <v>IWM US Index</v>
      </c>
      <c r="F238" s="5">
        <f t="shared" si="11"/>
        <v>3.5702284946236237E-3</v>
      </c>
    </row>
    <row r="239" spans="1:6" x14ac:dyDescent="0.35">
      <c r="A239" s="10">
        <v>45635</v>
      </c>
      <c r="B239" s="9">
        <v>-5.0223914954171337E-3</v>
      </c>
      <c r="D239" s="6" t="str">
        <f t="shared" si="9"/>
        <v>12/09/2024</v>
      </c>
      <c r="E239" s="6" t="str">
        <f t="shared" si="10"/>
        <v>IWM US Index</v>
      </c>
      <c r="F239" s="5">
        <f t="shared" si="11"/>
        <v>-5.0223914954171337E-3</v>
      </c>
    </row>
    <row r="240" spans="1:6" x14ac:dyDescent="0.35">
      <c r="A240" s="8">
        <v>45636</v>
      </c>
      <c r="B240" s="7">
        <v>-4.3326462793926131E-3</v>
      </c>
      <c r="D240" s="6" t="str">
        <f t="shared" si="9"/>
        <v>12/10/2024</v>
      </c>
      <c r="E240" s="6" t="str">
        <f t="shared" si="10"/>
        <v>IWM US Index</v>
      </c>
      <c r="F240" s="5">
        <f t="shared" si="11"/>
        <v>-4.3326462793926131E-3</v>
      </c>
    </row>
    <row r="241" spans="1:6" x14ac:dyDescent="0.35">
      <c r="A241" s="10">
        <v>45637</v>
      </c>
      <c r="B241" s="9">
        <v>4.5204900718209609E-3</v>
      </c>
      <c r="D241" s="6" t="str">
        <f t="shared" si="9"/>
        <v>12/11/2024</v>
      </c>
      <c r="E241" s="6" t="str">
        <f t="shared" si="10"/>
        <v>IWM US Index</v>
      </c>
      <c r="F241" s="5">
        <f t="shared" si="11"/>
        <v>4.5204900718209609E-3</v>
      </c>
    </row>
    <row r="242" spans="1:6" x14ac:dyDescent="0.35">
      <c r="A242" s="8">
        <v>45638</v>
      </c>
      <c r="B242" s="7">
        <v>-1.2995752197501861E-2</v>
      </c>
      <c r="D242" s="6" t="str">
        <f t="shared" si="9"/>
        <v>12/12/2024</v>
      </c>
      <c r="E242" s="6" t="str">
        <f t="shared" si="10"/>
        <v>IWM US Index</v>
      </c>
      <c r="F242" s="5">
        <f t="shared" si="11"/>
        <v>-1.2995752197501861E-2</v>
      </c>
    </row>
    <row r="243" spans="1:6" x14ac:dyDescent="0.35">
      <c r="A243" s="10">
        <v>45639</v>
      </c>
      <c r="B243" s="9">
        <v>-6.860405658769414E-3</v>
      </c>
      <c r="D243" s="6" t="str">
        <f t="shared" si="9"/>
        <v>12/13/2024</v>
      </c>
      <c r="E243" s="6" t="str">
        <f t="shared" si="10"/>
        <v>IWM US Index</v>
      </c>
      <c r="F243" s="5">
        <f t="shared" si="11"/>
        <v>-6.860405658769414E-3</v>
      </c>
    </row>
    <row r="244" spans="1:6" x14ac:dyDescent="0.35">
      <c r="A244" s="8">
        <v>45642</v>
      </c>
      <c r="B244" s="7">
        <v>5.878062384691283E-3</v>
      </c>
      <c r="D244" s="6" t="str">
        <f t="shared" si="9"/>
        <v>12/16/2024</v>
      </c>
      <c r="E244" s="6" t="str">
        <f t="shared" si="10"/>
        <v>IWM US Index</v>
      </c>
      <c r="F244" s="5">
        <f t="shared" si="11"/>
        <v>5.878062384691283E-3</v>
      </c>
    </row>
    <row r="245" spans="1:6" x14ac:dyDescent="0.35">
      <c r="A245" s="10">
        <v>45643</v>
      </c>
      <c r="B245" s="9">
        <v>-1.1414417334925686E-2</v>
      </c>
      <c r="D245" s="6" t="str">
        <f t="shared" si="9"/>
        <v>12/17/2024</v>
      </c>
      <c r="E245" s="6" t="str">
        <f t="shared" si="10"/>
        <v>IWM US Index</v>
      </c>
      <c r="F245" s="5">
        <f t="shared" si="11"/>
        <v>-1.1414417334925686E-2</v>
      </c>
    </row>
    <row r="246" spans="1:6" x14ac:dyDescent="0.35">
      <c r="A246" s="8">
        <v>45644</v>
      </c>
      <c r="B246" s="7">
        <v>-4.4272298437702785E-2</v>
      </c>
      <c r="D246" s="6" t="str">
        <f t="shared" si="9"/>
        <v>12/18/2024</v>
      </c>
      <c r="E246" s="6" t="str">
        <f t="shared" si="10"/>
        <v>IWM US Index</v>
      </c>
      <c r="F246" s="5">
        <f t="shared" si="11"/>
        <v>-4.4272298437702785E-2</v>
      </c>
    </row>
    <row r="247" spans="1:6" x14ac:dyDescent="0.35">
      <c r="A247" s="10">
        <v>45645</v>
      </c>
      <c r="B247" s="9">
        <v>-4.4376018837166513E-3</v>
      </c>
      <c r="D247" s="6" t="str">
        <f t="shared" si="9"/>
        <v>12/19/2024</v>
      </c>
      <c r="E247" s="6" t="str">
        <f t="shared" si="10"/>
        <v>IWM US Index</v>
      </c>
      <c r="F247" s="5">
        <f t="shared" si="11"/>
        <v>-4.4376018837166513E-3</v>
      </c>
    </row>
    <row r="248" spans="1:6" x14ac:dyDescent="0.35">
      <c r="A248" s="8">
        <v>45646</v>
      </c>
      <c r="B248" s="7">
        <v>9.3695988356225553E-3</v>
      </c>
      <c r="D248" s="6" t="str">
        <f t="shared" si="9"/>
        <v>12/20/2024</v>
      </c>
      <c r="E248" s="6" t="str">
        <f t="shared" si="10"/>
        <v>IWM US Index</v>
      </c>
      <c r="F248" s="5">
        <f t="shared" si="11"/>
        <v>9.3695988356225553E-3</v>
      </c>
    </row>
    <row r="249" spans="1:6" x14ac:dyDescent="0.35">
      <c r="A249" s="10">
        <v>45649</v>
      </c>
      <c r="B249" s="9">
        <v>-2.2981254506128932E-3</v>
      </c>
      <c r="D249" s="6" t="str">
        <f t="shared" si="9"/>
        <v>12/23/2024</v>
      </c>
      <c r="E249" s="6" t="str">
        <f t="shared" si="10"/>
        <v>IWM US Index</v>
      </c>
      <c r="F249" s="5">
        <f t="shared" si="11"/>
        <v>-2.2981254506128932E-3</v>
      </c>
    </row>
    <row r="250" spans="1:6" x14ac:dyDescent="0.35">
      <c r="A250" s="8">
        <v>45650</v>
      </c>
      <c r="B250" s="7">
        <v>8.9426855155593944E-3</v>
      </c>
      <c r="D250" s="6" t="str">
        <f t="shared" si="9"/>
        <v>12/24/2024</v>
      </c>
      <c r="E250" s="6" t="str">
        <f t="shared" si="10"/>
        <v>IWM US Index</v>
      </c>
      <c r="F250" s="5">
        <f t="shared" si="11"/>
        <v>8.9426855155593944E-3</v>
      </c>
    </row>
    <row r="251" spans="1:6" x14ac:dyDescent="0.35">
      <c r="A251" s="10">
        <v>45652</v>
      </c>
      <c r="B251" s="9">
        <v>1.0251130310219837E-2</v>
      </c>
      <c r="D251" s="6" t="str">
        <f t="shared" si="9"/>
        <v>12/26/2024</v>
      </c>
      <c r="E251" s="6" t="str">
        <f t="shared" si="10"/>
        <v>IWM US Index</v>
      </c>
      <c r="F251" s="5">
        <f t="shared" si="11"/>
        <v>1.0251130310219837E-2</v>
      </c>
    </row>
    <row r="252" spans="1:6" x14ac:dyDescent="0.35">
      <c r="A252" s="8">
        <v>45653</v>
      </c>
      <c r="B252" s="7">
        <v>-1.4578163771712163E-2</v>
      </c>
      <c r="D252" s="6" t="str">
        <f t="shared" si="9"/>
        <v>12/27/2024</v>
      </c>
      <c r="E252" s="6" t="str">
        <f t="shared" si="10"/>
        <v>IWM US Index</v>
      </c>
      <c r="F252" s="5">
        <f t="shared" si="11"/>
        <v>-1.4578163771712163E-2</v>
      </c>
    </row>
    <row r="253" spans="1:6" x14ac:dyDescent="0.35">
      <c r="A253" s="10">
        <v>45656</v>
      </c>
      <c r="B253" s="9">
        <v>-7.6891946580331253E-3</v>
      </c>
      <c r="D253" s="6" t="str">
        <f t="shared" si="9"/>
        <v>12/30/2024</v>
      </c>
      <c r="E253" s="6" t="str">
        <f t="shared" si="10"/>
        <v>IWM US Index</v>
      </c>
      <c r="F253" s="5">
        <f t="shared" si="11"/>
        <v>-7.6891946580331253E-3</v>
      </c>
    </row>
    <row r="254" spans="1:6" x14ac:dyDescent="0.35">
      <c r="A254" s="8">
        <v>45657</v>
      </c>
      <c r="B254" s="7">
        <v>1.2688055102411087E-3</v>
      </c>
      <c r="D254" s="6" t="str">
        <f t="shared" si="9"/>
        <v>12/31/2024</v>
      </c>
      <c r="E254" s="6" t="str">
        <f t="shared" si="10"/>
        <v>IWM US Index</v>
      </c>
      <c r="F254" s="5">
        <f t="shared" si="11"/>
        <v>1.2688055102411087E-3</v>
      </c>
    </row>
    <row r="255" spans="1:6" x14ac:dyDescent="0.35">
      <c r="A255" s="10">
        <v>45659</v>
      </c>
      <c r="B255" s="9">
        <v>8.1462708182465128E-4</v>
      </c>
      <c r="D255" s="6" t="str">
        <f t="shared" si="9"/>
        <v>01/02/2025</v>
      </c>
      <c r="E255" s="6" t="str">
        <f t="shared" si="10"/>
        <v>IWM US Index</v>
      </c>
      <c r="F255" s="5">
        <f t="shared" si="11"/>
        <v>8.1462708182465128E-4</v>
      </c>
    </row>
    <row r="256" spans="1:6" x14ac:dyDescent="0.35">
      <c r="A256" s="8">
        <v>45660</v>
      </c>
      <c r="B256" s="7">
        <v>1.4877453197069734E-2</v>
      </c>
      <c r="D256" s="6" t="str">
        <f t="shared" si="9"/>
        <v>01/03/2025</v>
      </c>
      <c r="E256" s="6" t="str">
        <f t="shared" si="10"/>
        <v>IWM US Index</v>
      </c>
      <c r="F256" s="5">
        <f t="shared" si="11"/>
        <v>1.4877453197069734E-2</v>
      </c>
    </row>
    <row r="257" spans="1:6" x14ac:dyDescent="0.35">
      <c r="A257" s="10">
        <v>45663</v>
      </c>
      <c r="B257" s="9">
        <v>4.0101590696437893E-4</v>
      </c>
      <c r="D257" s="6" t="str">
        <f t="shared" si="9"/>
        <v>01/06/2025</v>
      </c>
      <c r="E257" s="6" t="str">
        <f t="shared" si="10"/>
        <v>IWM US Index</v>
      </c>
      <c r="F257" s="5">
        <f t="shared" si="11"/>
        <v>4.0101590696437893E-4</v>
      </c>
    </row>
    <row r="258" spans="1:6" x14ac:dyDescent="0.35">
      <c r="A258" s="8">
        <v>45664</v>
      </c>
      <c r="B258" s="7">
        <v>-8.0171031533939167E-3</v>
      </c>
      <c r="D258" s="6" t="str">
        <f t="shared" si="9"/>
        <v>01/07/2025</v>
      </c>
      <c r="E258" s="6" t="str">
        <f t="shared" si="10"/>
        <v>IWM US Index</v>
      </c>
      <c r="F258" s="5">
        <f t="shared" si="11"/>
        <v>-8.0171031533939167E-3</v>
      </c>
    </row>
    <row r="259" spans="1:6" x14ac:dyDescent="0.35">
      <c r="A259" s="10">
        <v>45665</v>
      </c>
      <c r="B259" s="9">
        <v>-4.5348419540230294E-3</v>
      </c>
      <c r="D259" s="6" t="str">
        <f t="shared" ref="D259:D280" si="12">IF(A259 =  "", "",  TEXT(A259, "mm/dd/yyyy"))</f>
        <v>01/08/2025</v>
      </c>
      <c r="E259" s="6" t="str">
        <f t="shared" ref="E259:E280" si="13">IF(A259="", "", EntityLocal)</f>
        <v>IWM US Index</v>
      </c>
      <c r="F259" s="5">
        <f t="shared" ref="F259:F280" si="14">IF(B259="","", B259)</f>
        <v>-4.5348419540230294E-3</v>
      </c>
    </row>
    <row r="260" spans="1:6" x14ac:dyDescent="0.35">
      <c r="A260" s="8">
        <v>45667</v>
      </c>
      <c r="B260" s="7">
        <v>-2.2010734743583855E-2</v>
      </c>
      <c r="D260" s="6" t="str">
        <f t="shared" si="12"/>
        <v>01/10/2025</v>
      </c>
      <c r="E260" s="6" t="str">
        <f t="shared" si="13"/>
        <v>IWM US Index</v>
      </c>
      <c r="F260" s="5">
        <f t="shared" si="14"/>
        <v>-2.2010734743583855E-2</v>
      </c>
    </row>
    <row r="261" spans="1:6" x14ac:dyDescent="0.35">
      <c r="A261" s="10">
        <v>45670</v>
      </c>
      <c r="B261" s="9">
        <v>1.9370013374531642E-3</v>
      </c>
      <c r="D261" s="6" t="str">
        <f t="shared" si="12"/>
        <v>01/13/2025</v>
      </c>
      <c r="E261" s="6" t="str">
        <f t="shared" si="13"/>
        <v>IWM US Index</v>
      </c>
      <c r="F261" s="5">
        <f t="shared" si="14"/>
        <v>1.9370013374531642E-3</v>
      </c>
    </row>
    <row r="262" spans="1:6" x14ac:dyDescent="0.35">
      <c r="A262" s="8">
        <v>45671</v>
      </c>
      <c r="B262" s="7">
        <v>1.1369390103567373E-2</v>
      </c>
      <c r="D262" s="6" t="str">
        <f t="shared" si="12"/>
        <v>01/14/2025</v>
      </c>
      <c r="E262" s="6" t="str">
        <f t="shared" si="13"/>
        <v>IWM US Index</v>
      </c>
      <c r="F262" s="5">
        <f t="shared" si="14"/>
        <v>1.1369390103567373E-2</v>
      </c>
    </row>
    <row r="263" spans="1:6" x14ac:dyDescent="0.35">
      <c r="A263" s="10">
        <v>45672</v>
      </c>
      <c r="B263" s="9">
        <v>1.9661387220098255E-2</v>
      </c>
      <c r="D263" s="6" t="str">
        <f t="shared" si="12"/>
        <v>01/15/2025</v>
      </c>
      <c r="E263" s="6" t="str">
        <f t="shared" si="13"/>
        <v>IWM US Index</v>
      </c>
      <c r="F263" s="5">
        <f t="shared" si="14"/>
        <v>1.9661387220098255E-2</v>
      </c>
    </row>
    <row r="264" spans="1:6" x14ac:dyDescent="0.35">
      <c r="A264" s="8">
        <v>45673</v>
      </c>
      <c r="B264" s="7">
        <v>2.0085698982325552E-3</v>
      </c>
      <c r="D264" s="6" t="str">
        <f t="shared" si="12"/>
        <v>01/16/2025</v>
      </c>
      <c r="E264" s="6" t="str">
        <f t="shared" si="13"/>
        <v>IWM US Index</v>
      </c>
      <c r="F264" s="5">
        <f t="shared" si="14"/>
        <v>2.0085698982325552E-3</v>
      </c>
    </row>
    <row r="265" spans="1:6" x14ac:dyDescent="0.35">
      <c r="A265" s="10">
        <v>45674</v>
      </c>
      <c r="B265" s="9">
        <v>4.3209051628134709E-3</v>
      </c>
      <c r="D265" s="6" t="str">
        <f t="shared" si="12"/>
        <v>01/17/2025</v>
      </c>
      <c r="E265" s="6" t="str">
        <f t="shared" si="13"/>
        <v>IWM US Index</v>
      </c>
      <c r="F265" s="5">
        <f t="shared" si="14"/>
        <v>4.3209051628134709E-3</v>
      </c>
    </row>
    <row r="266" spans="1:6" x14ac:dyDescent="0.35">
      <c r="A266" s="8">
        <v>45678</v>
      </c>
      <c r="B266" s="7">
        <v>1.9205180519826035E-2</v>
      </c>
      <c r="D266" s="6" t="str">
        <f t="shared" si="12"/>
        <v>01/21/2025</v>
      </c>
      <c r="E266" s="6" t="str">
        <f t="shared" si="13"/>
        <v>IWM US Index</v>
      </c>
      <c r="F266" s="5">
        <f t="shared" si="14"/>
        <v>1.9205180519826035E-2</v>
      </c>
    </row>
    <row r="267" spans="1:6" x14ac:dyDescent="0.35">
      <c r="A267" s="10">
        <v>45679</v>
      </c>
      <c r="B267" s="9">
        <v>-6.5276992036206443E-3</v>
      </c>
      <c r="D267" s="6" t="str">
        <f t="shared" si="12"/>
        <v>01/22/2025</v>
      </c>
      <c r="E267" s="6" t="str">
        <f t="shared" si="13"/>
        <v>IWM US Index</v>
      </c>
      <c r="F267" s="5">
        <f t="shared" si="14"/>
        <v>-6.5276992036206443E-3</v>
      </c>
    </row>
    <row r="268" spans="1:6" x14ac:dyDescent="0.35">
      <c r="A268" s="8">
        <v>45680</v>
      </c>
      <c r="B268" s="7">
        <v>4.5556090936966359E-3</v>
      </c>
      <c r="D268" s="6" t="str">
        <f t="shared" si="12"/>
        <v>01/23/2025</v>
      </c>
      <c r="E268" s="6" t="str">
        <f t="shared" si="13"/>
        <v>IWM US Index</v>
      </c>
      <c r="F268" s="5">
        <f t="shared" si="14"/>
        <v>4.5556090936966359E-3</v>
      </c>
    </row>
    <row r="269" spans="1:6" x14ac:dyDescent="0.35">
      <c r="A269" s="10">
        <v>45681</v>
      </c>
      <c r="B269" s="9">
        <v>-2.790738237474443E-3</v>
      </c>
      <c r="D269" s="6" t="str">
        <f t="shared" si="12"/>
        <v>01/24/2025</v>
      </c>
      <c r="E269" s="6" t="str">
        <f t="shared" si="13"/>
        <v>IWM US Index</v>
      </c>
      <c r="F269" s="5">
        <f t="shared" si="14"/>
        <v>-2.790738237474443E-3</v>
      </c>
    </row>
    <row r="270" spans="1:6" x14ac:dyDescent="0.35">
      <c r="A270" s="8">
        <v>45684</v>
      </c>
      <c r="B270" s="7">
        <v>-9.5762823035550493E-3</v>
      </c>
      <c r="D270" s="6" t="str">
        <f t="shared" si="12"/>
        <v>01/27/2025</v>
      </c>
      <c r="E270" s="6" t="str">
        <f t="shared" si="13"/>
        <v>IWM US Index</v>
      </c>
      <c r="F270" s="5">
        <f t="shared" si="14"/>
        <v>-9.5762823035550493E-3</v>
      </c>
    </row>
    <row r="271" spans="1:6" x14ac:dyDescent="0.35">
      <c r="A271" s="10">
        <v>45685</v>
      </c>
      <c r="B271" s="9">
        <v>1.1037527593819516E-3</v>
      </c>
      <c r="D271" s="6" t="str">
        <f t="shared" si="12"/>
        <v>01/28/2025</v>
      </c>
      <c r="E271" s="6" t="str">
        <f t="shared" si="13"/>
        <v>IWM US Index</v>
      </c>
      <c r="F271" s="5">
        <f t="shared" si="14"/>
        <v>1.1037527593819516E-3</v>
      </c>
    </row>
    <row r="272" spans="1:6" x14ac:dyDescent="0.35">
      <c r="A272" s="8">
        <v>45686</v>
      </c>
      <c r="B272" s="7">
        <v>-2.2932745314222821E-3</v>
      </c>
      <c r="D272" s="6" t="str">
        <f t="shared" si="12"/>
        <v>01/29/2025</v>
      </c>
      <c r="E272" s="6" t="str">
        <f t="shared" si="13"/>
        <v>IWM US Index</v>
      </c>
      <c r="F272" s="5">
        <f t="shared" si="14"/>
        <v>-2.2932745314222821E-3</v>
      </c>
    </row>
    <row r="273" spans="1:6" x14ac:dyDescent="0.35">
      <c r="A273" s="10">
        <v>45687</v>
      </c>
      <c r="B273" s="9">
        <v>1.0166644565265431E-2</v>
      </c>
      <c r="D273" s="6" t="str">
        <f t="shared" si="12"/>
        <v>01/30/2025</v>
      </c>
      <c r="E273" s="6" t="str">
        <f t="shared" si="13"/>
        <v>IWM US Index</v>
      </c>
      <c r="F273" s="5">
        <f t="shared" si="14"/>
        <v>1.0166644565265431E-2</v>
      </c>
    </row>
    <row r="274" spans="1:6" x14ac:dyDescent="0.35">
      <c r="A274" s="8">
        <v>45688</v>
      </c>
      <c r="B274" s="7">
        <v>-8.970375880628427E-3</v>
      </c>
      <c r="D274" s="6" t="str">
        <f t="shared" si="12"/>
        <v>01/31/2025</v>
      </c>
      <c r="E274" s="6" t="str">
        <f t="shared" si="13"/>
        <v>IWM US Index</v>
      </c>
      <c r="F274" s="5">
        <f t="shared" si="14"/>
        <v>-8.970375880628427E-3</v>
      </c>
    </row>
    <row r="275" spans="1:6" x14ac:dyDescent="0.35">
      <c r="A275" s="10">
        <v>45691</v>
      </c>
      <c r="B275" s="9">
        <v>-1.1700812433768805E-2</v>
      </c>
      <c r="D275" s="6" t="str">
        <f t="shared" si="12"/>
        <v>02/03/2025</v>
      </c>
      <c r="E275" s="6" t="str">
        <f t="shared" si="13"/>
        <v>IWM US Index</v>
      </c>
      <c r="F275" s="5">
        <f t="shared" si="14"/>
        <v>-1.1700812433768805E-2</v>
      </c>
    </row>
    <row r="276" spans="1:6" x14ac:dyDescent="0.35">
      <c r="A276" s="8">
        <v>45692</v>
      </c>
      <c r="B276" s="7">
        <v>1.3849796720725461E-2</v>
      </c>
      <c r="D276" s="6" t="str">
        <f t="shared" si="12"/>
        <v>02/04/2025</v>
      </c>
      <c r="E276" s="6" t="str">
        <f t="shared" si="13"/>
        <v>IWM US Index</v>
      </c>
      <c r="F276" s="5">
        <f t="shared" si="14"/>
        <v>1.3849796720725461E-2</v>
      </c>
    </row>
    <row r="277" spans="1:6" x14ac:dyDescent="0.35">
      <c r="A277" s="10">
        <v>45693</v>
      </c>
      <c r="B277" s="9">
        <v>1.0884413695853402E-2</v>
      </c>
      <c r="D277" s="6" t="str">
        <f t="shared" si="12"/>
        <v>02/05/2025</v>
      </c>
      <c r="E277" s="6" t="str">
        <f t="shared" si="13"/>
        <v>IWM US Index</v>
      </c>
      <c r="F277" s="5">
        <f t="shared" si="14"/>
        <v>1.0884413695853402E-2</v>
      </c>
    </row>
    <row r="278" spans="1:6" x14ac:dyDescent="0.35">
      <c r="A278" s="8">
        <v>45694</v>
      </c>
      <c r="B278" s="7">
        <v>-3.2693984306887882E-3</v>
      </c>
      <c r="D278" s="6" t="str">
        <f t="shared" si="12"/>
        <v>02/06/2025</v>
      </c>
      <c r="E278" s="6" t="str">
        <f t="shared" si="13"/>
        <v>IWM US Index</v>
      </c>
      <c r="F278" s="5">
        <f t="shared" si="14"/>
        <v>-3.2693984306887882E-3</v>
      </c>
    </row>
    <row r="279" spans="1:6" x14ac:dyDescent="0.35">
      <c r="A279" s="10">
        <v>45695</v>
      </c>
      <c r="B279" s="9">
        <v>-1.0758790984446836E-2</v>
      </c>
      <c r="D279" s="6" t="str">
        <f t="shared" si="12"/>
        <v>02/07/2025</v>
      </c>
      <c r="E279" s="6" t="str">
        <f t="shared" si="13"/>
        <v>IWM US Index</v>
      </c>
      <c r="F279" s="5">
        <f t="shared" si="14"/>
        <v>-1.0758790984446836E-2</v>
      </c>
    </row>
    <row r="280" spans="1:6" x14ac:dyDescent="0.35">
      <c r="A280" s="8"/>
      <c r="B280" s="7"/>
      <c r="D280" s="6" t="str">
        <f t="shared" si="12"/>
        <v/>
      </c>
      <c r="E280" s="6" t="str">
        <f t="shared" si="13"/>
        <v/>
      </c>
      <c r="F280" s="5" t="str">
        <f t="shared" si="14"/>
        <v/>
      </c>
    </row>
    <row r="281" spans="1:6" x14ac:dyDescent="0.35">
      <c r="A281" s="10"/>
      <c r="B281" s="9"/>
      <c r="D281" s="6" t="str">
        <f t="shared" ref="D281:D344" si="15">IF(A281 =  "", "",  TEXT(A281, "mm/dd/yyyy"))</f>
        <v/>
      </c>
      <c r="E281" s="6" t="str">
        <f t="shared" ref="E281:E344" si="16">IF(A281="", "", EntityLocal)</f>
        <v/>
      </c>
      <c r="F281" s="5" t="str">
        <f t="shared" ref="F281:F344" si="17">IF(B281="","", B281)</f>
        <v/>
      </c>
    </row>
    <row r="282" spans="1:6" x14ac:dyDescent="0.35">
      <c r="A282" s="8"/>
      <c r="B282" s="7"/>
      <c r="D282" s="6" t="str">
        <f t="shared" si="15"/>
        <v/>
      </c>
      <c r="E282" s="6" t="str">
        <f t="shared" si="16"/>
        <v/>
      </c>
      <c r="F282" s="5" t="str">
        <f t="shared" si="17"/>
        <v/>
      </c>
    </row>
    <row r="283" spans="1:6" x14ac:dyDescent="0.35">
      <c r="A283" s="10"/>
      <c r="B283" s="9"/>
      <c r="D283" s="6" t="str">
        <f t="shared" si="15"/>
        <v/>
      </c>
      <c r="E283" s="6" t="str">
        <f t="shared" si="16"/>
        <v/>
      </c>
      <c r="F283" s="5" t="str">
        <f t="shared" si="17"/>
        <v/>
      </c>
    </row>
    <row r="284" spans="1:6" x14ac:dyDescent="0.35">
      <c r="A284" s="8"/>
      <c r="B284" s="7"/>
      <c r="D284" s="6" t="str">
        <f t="shared" si="15"/>
        <v/>
      </c>
      <c r="E284" s="6" t="str">
        <f t="shared" si="16"/>
        <v/>
      </c>
      <c r="F284" s="5" t="str">
        <f t="shared" si="17"/>
        <v/>
      </c>
    </row>
    <row r="285" spans="1:6" x14ac:dyDescent="0.35">
      <c r="A285" s="10"/>
      <c r="B285" s="9"/>
      <c r="D285" s="6" t="str">
        <f t="shared" si="15"/>
        <v/>
      </c>
      <c r="E285" s="6" t="str">
        <f t="shared" si="16"/>
        <v/>
      </c>
      <c r="F285" s="5" t="str">
        <f t="shared" si="17"/>
        <v/>
      </c>
    </row>
    <row r="286" spans="1:6" x14ac:dyDescent="0.35">
      <c r="A286" s="8"/>
      <c r="B286" s="7"/>
      <c r="D286" s="6" t="str">
        <f t="shared" si="15"/>
        <v/>
      </c>
      <c r="E286" s="6" t="str">
        <f t="shared" si="16"/>
        <v/>
      </c>
      <c r="F286" s="5" t="str">
        <f t="shared" si="17"/>
        <v/>
      </c>
    </row>
    <row r="287" spans="1:6" x14ac:dyDescent="0.35">
      <c r="A287" s="10"/>
      <c r="B287" s="9"/>
      <c r="D287" s="6" t="str">
        <f t="shared" si="15"/>
        <v/>
      </c>
      <c r="E287" s="6" t="str">
        <f t="shared" si="16"/>
        <v/>
      </c>
      <c r="F287" s="5" t="str">
        <f t="shared" si="17"/>
        <v/>
      </c>
    </row>
    <row r="288" spans="1:6" x14ac:dyDescent="0.35">
      <c r="A288" s="8"/>
      <c r="B288" s="7"/>
      <c r="D288" s="6" t="str">
        <f t="shared" si="15"/>
        <v/>
      </c>
      <c r="E288" s="6" t="str">
        <f t="shared" si="16"/>
        <v/>
      </c>
      <c r="F288" s="5" t="str">
        <f t="shared" si="17"/>
        <v/>
      </c>
    </row>
    <row r="289" spans="1:6" x14ac:dyDescent="0.35">
      <c r="A289" s="10"/>
      <c r="B289" s="9"/>
      <c r="D289" s="6" t="str">
        <f t="shared" si="15"/>
        <v/>
      </c>
      <c r="E289" s="6" t="str">
        <f t="shared" si="16"/>
        <v/>
      </c>
      <c r="F289" s="5" t="str">
        <f t="shared" si="17"/>
        <v/>
      </c>
    </row>
    <row r="290" spans="1:6" x14ac:dyDescent="0.35">
      <c r="A290" s="8"/>
      <c r="B290" s="7"/>
      <c r="D290" s="6" t="str">
        <f t="shared" si="15"/>
        <v/>
      </c>
      <c r="E290" s="6" t="str">
        <f t="shared" si="16"/>
        <v/>
      </c>
      <c r="F290" s="5" t="str">
        <f t="shared" si="17"/>
        <v/>
      </c>
    </row>
    <row r="291" spans="1:6" x14ac:dyDescent="0.35">
      <c r="A291" s="10"/>
      <c r="B291" s="9"/>
      <c r="D291" s="6" t="str">
        <f t="shared" si="15"/>
        <v/>
      </c>
      <c r="E291" s="6" t="str">
        <f t="shared" si="16"/>
        <v/>
      </c>
      <c r="F291" s="5" t="str">
        <f t="shared" si="17"/>
        <v/>
      </c>
    </row>
    <row r="292" spans="1:6" x14ac:dyDescent="0.35">
      <c r="A292" s="8"/>
      <c r="B292" s="7"/>
      <c r="D292" s="6" t="str">
        <f t="shared" si="15"/>
        <v/>
      </c>
      <c r="E292" s="6" t="str">
        <f t="shared" si="16"/>
        <v/>
      </c>
      <c r="F292" s="5" t="str">
        <f t="shared" si="17"/>
        <v/>
      </c>
    </row>
    <row r="293" spans="1:6" x14ac:dyDescent="0.35">
      <c r="A293" s="10"/>
      <c r="B293" s="9"/>
      <c r="D293" s="6" t="str">
        <f t="shared" si="15"/>
        <v/>
      </c>
      <c r="E293" s="6" t="str">
        <f t="shared" si="16"/>
        <v/>
      </c>
      <c r="F293" s="5" t="str">
        <f t="shared" si="17"/>
        <v/>
      </c>
    </row>
    <row r="294" spans="1:6" x14ac:dyDescent="0.35">
      <c r="A294" s="8"/>
      <c r="B294" s="7"/>
      <c r="D294" s="6" t="str">
        <f t="shared" si="15"/>
        <v/>
      </c>
      <c r="E294" s="6" t="str">
        <f t="shared" si="16"/>
        <v/>
      </c>
      <c r="F294" s="5" t="str">
        <f t="shared" si="17"/>
        <v/>
      </c>
    </row>
    <row r="295" spans="1:6" x14ac:dyDescent="0.35">
      <c r="A295" s="10"/>
      <c r="B295" s="9"/>
      <c r="D295" s="6" t="str">
        <f t="shared" si="15"/>
        <v/>
      </c>
      <c r="E295" s="6" t="str">
        <f t="shared" si="16"/>
        <v/>
      </c>
      <c r="F295" s="5" t="str">
        <f t="shared" si="17"/>
        <v/>
      </c>
    </row>
    <row r="296" spans="1:6" x14ac:dyDescent="0.35">
      <c r="A296" s="8"/>
      <c r="B296" s="7"/>
      <c r="D296" s="6" t="str">
        <f t="shared" si="15"/>
        <v/>
      </c>
      <c r="E296" s="6" t="str">
        <f t="shared" si="16"/>
        <v/>
      </c>
      <c r="F296" s="5" t="str">
        <f t="shared" si="17"/>
        <v/>
      </c>
    </row>
    <row r="297" spans="1:6" x14ac:dyDescent="0.35">
      <c r="A297" s="10"/>
      <c r="B297" s="9"/>
      <c r="D297" s="6" t="str">
        <f t="shared" si="15"/>
        <v/>
      </c>
      <c r="E297" s="6" t="str">
        <f t="shared" si="16"/>
        <v/>
      </c>
      <c r="F297" s="5" t="str">
        <f t="shared" si="17"/>
        <v/>
      </c>
    </row>
    <row r="298" spans="1:6" x14ac:dyDescent="0.35">
      <c r="A298" s="8"/>
      <c r="B298" s="7"/>
      <c r="D298" s="6" t="str">
        <f t="shared" si="15"/>
        <v/>
      </c>
      <c r="E298" s="6" t="str">
        <f t="shared" si="16"/>
        <v/>
      </c>
      <c r="F298" s="5" t="str">
        <f t="shared" si="17"/>
        <v/>
      </c>
    </row>
    <row r="299" spans="1:6" x14ac:dyDescent="0.35">
      <c r="A299" s="10"/>
      <c r="B299" s="9"/>
      <c r="D299" s="6" t="str">
        <f t="shared" si="15"/>
        <v/>
      </c>
      <c r="E299" s="6" t="str">
        <f t="shared" si="16"/>
        <v/>
      </c>
      <c r="F299" s="5" t="str">
        <f t="shared" si="17"/>
        <v/>
      </c>
    </row>
    <row r="300" spans="1:6" x14ac:dyDescent="0.35">
      <c r="A300" s="8"/>
      <c r="B300" s="7"/>
      <c r="D300" s="6" t="str">
        <f t="shared" si="15"/>
        <v/>
      </c>
      <c r="E300" s="6" t="str">
        <f t="shared" si="16"/>
        <v/>
      </c>
      <c r="F300" s="5" t="str">
        <f t="shared" si="17"/>
        <v/>
      </c>
    </row>
    <row r="301" spans="1:6" x14ac:dyDescent="0.35">
      <c r="A301" s="10"/>
      <c r="B301" s="9"/>
      <c r="D301" s="6" t="str">
        <f t="shared" si="15"/>
        <v/>
      </c>
      <c r="E301" s="6" t="str">
        <f t="shared" si="16"/>
        <v/>
      </c>
      <c r="F301" s="5" t="str">
        <f t="shared" si="17"/>
        <v/>
      </c>
    </row>
    <row r="302" spans="1:6" x14ac:dyDescent="0.35">
      <c r="A302" s="8"/>
      <c r="B302" s="7"/>
      <c r="D302" s="6" t="str">
        <f t="shared" si="15"/>
        <v/>
      </c>
      <c r="E302" s="6" t="str">
        <f t="shared" si="16"/>
        <v/>
      </c>
      <c r="F302" s="5" t="str">
        <f t="shared" si="17"/>
        <v/>
      </c>
    </row>
    <row r="303" spans="1:6" x14ac:dyDescent="0.35">
      <c r="A303" s="10"/>
      <c r="B303" s="9"/>
      <c r="D303" s="6" t="str">
        <f t="shared" si="15"/>
        <v/>
      </c>
      <c r="E303" s="6" t="str">
        <f t="shared" si="16"/>
        <v/>
      </c>
      <c r="F303" s="5" t="str">
        <f t="shared" si="17"/>
        <v/>
      </c>
    </row>
    <row r="304" spans="1:6" x14ac:dyDescent="0.35">
      <c r="A304" s="8"/>
      <c r="B304" s="7"/>
      <c r="D304" s="6" t="str">
        <f t="shared" si="15"/>
        <v/>
      </c>
      <c r="E304" s="6" t="str">
        <f t="shared" si="16"/>
        <v/>
      </c>
      <c r="F304" s="5" t="str">
        <f t="shared" si="17"/>
        <v/>
      </c>
    </row>
    <row r="305" spans="1:6" x14ac:dyDescent="0.35">
      <c r="A305" s="10"/>
      <c r="B305" s="9"/>
      <c r="D305" s="6" t="str">
        <f t="shared" si="15"/>
        <v/>
      </c>
      <c r="E305" s="6" t="str">
        <f t="shared" si="16"/>
        <v/>
      </c>
      <c r="F305" s="5" t="str">
        <f t="shared" si="17"/>
        <v/>
      </c>
    </row>
    <row r="306" spans="1:6" x14ac:dyDescent="0.35">
      <c r="A306" s="8"/>
      <c r="B306" s="7"/>
      <c r="D306" s="6" t="str">
        <f t="shared" si="15"/>
        <v/>
      </c>
      <c r="E306" s="6" t="str">
        <f t="shared" si="16"/>
        <v/>
      </c>
      <c r="F306" s="5" t="str">
        <f t="shared" si="17"/>
        <v/>
      </c>
    </row>
    <row r="307" spans="1:6" x14ac:dyDescent="0.35">
      <c r="A307" s="10"/>
      <c r="B307" s="9"/>
      <c r="D307" s="6" t="str">
        <f t="shared" si="15"/>
        <v/>
      </c>
      <c r="E307" s="6" t="str">
        <f t="shared" si="16"/>
        <v/>
      </c>
      <c r="F307" s="5" t="str">
        <f t="shared" si="17"/>
        <v/>
      </c>
    </row>
    <row r="308" spans="1:6" x14ac:dyDescent="0.35">
      <c r="A308" s="8"/>
      <c r="B308" s="7"/>
      <c r="D308" s="6" t="str">
        <f t="shared" si="15"/>
        <v/>
      </c>
      <c r="E308" s="6" t="str">
        <f t="shared" si="16"/>
        <v/>
      </c>
      <c r="F308" s="5" t="str">
        <f t="shared" si="17"/>
        <v/>
      </c>
    </row>
    <row r="309" spans="1:6" x14ac:dyDescent="0.35">
      <c r="A309" s="10"/>
      <c r="B309" s="9"/>
      <c r="D309" s="6" t="str">
        <f t="shared" si="15"/>
        <v/>
      </c>
      <c r="E309" s="6" t="str">
        <f t="shared" si="16"/>
        <v/>
      </c>
      <c r="F309" s="5" t="str">
        <f t="shared" si="17"/>
        <v/>
      </c>
    </row>
    <row r="310" spans="1:6" x14ac:dyDescent="0.35">
      <c r="A310" s="8"/>
      <c r="B310" s="7"/>
      <c r="D310" s="6" t="str">
        <f t="shared" si="15"/>
        <v/>
      </c>
      <c r="E310" s="6" t="str">
        <f t="shared" si="16"/>
        <v/>
      </c>
      <c r="F310" s="5" t="str">
        <f t="shared" si="17"/>
        <v/>
      </c>
    </row>
    <row r="311" spans="1:6" x14ac:dyDescent="0.35">
      <c r="A311" s="10"/>
      <c r="B311" s="9"/>
      <c r="D311" s="6" t="str">
        <f t="shared" si="15"/>
        <v/>
      </c>
      <c r="E311" s="6" t="str">
        <f t="shared" si="16"/>
        <v/>
      </c>
      <c r="F311" s="5" t="str">
        <f t="shared" si="17"/>
        <v/>
      </c>
    </row>
    <row r="312" spans="1:6" x14ac:dyDescent="0.35">
      <c r="A312" s="8"/>
      <c r="B312" s="7"/>
      <c r="D312" s="6" t="str">
        <f t="shared" si="15"/>
        <v/>
      </c>
      <c r="E312" s="6" t="str">
        <f t="shared" si="16"/>
        <v/>
      </c>
      <c r="F312" s="5" t="str">
        <f t="shared" si="17"/>
        <v/>
      </c>
    </row>
    <row r="313" spans="1:6" x14ac:dyDescent="0.35">
      <c r="A313" s="10"/>
      <c r="B313" s="9"/>
      <c r="D313" s="6" t="str">
        <f t="shared" si="15"/>
        <v/>
      </c>
      <c r="E313" s="6" t="str">
        <f t="shared" si="16"/>
        <v/>
      </c>
      <c r="F313" s="5" t="str">
        <f t="shared" si="17"/>
        <v/>
      </c>
    </row>
    <row r="314" spans="1:6" x14ac:dyDescent="0.35">
      <c r="A314" s="8"/>
      <c r="B314" s="7"/>
      <c r="D314" s="6" t="str">
        <f t="shared" si="15"/>
        <v/>
      </c>
      <c r="E314" s="6" t="str">
        <f t="shared" si="16"/>
        <v/>
      </c>
      <c r="F314" s="5" t="str">
        <f t="shared" si="17"/>
        <v/>
      </c>
    </row>
    <row r="315" spans="1:6" x14ac:dyDescent="0.35">
      <c r="A315" s="10"/>
      <c r="B315" s="9"/>
      <c r="D315" s="6" t="str">
        <f t="shared" si="15"/>
        <v/>
      </c>
      <c r="E315" s="6" t="str">
        <f t="shared" si="16"/>
        <v/>
      </c>
      <c r="F315" s="5" t="str">
        <f t="shared" si="17"/>
        <v/>
      </c>
    </row>
    <row r="316" spans="1:6" x14ac:dyDescent="0.35">
      <c r="A316" s="8"/>
      <c r="B316" s="7"/>
      <c r="D316" s="6" t="str">
        <f t="shared" si="15"/>
        <v/>
      </c>
      <c r="E316" s="6" t="str">
        <f t="shared" si="16"/>
        <v/>
      </c>
      <c r="F316" s="5" t="str">
        <f t="shared" si="17"/>
        <v/>
      </c>
    </row>
    <row r="317" spans="1:6" x14ac:dyDescent="0.35">
      <c r="A317" s="10"/>
      <c r="B317" s="9"/>
      <c r="D317" s="6" t="str">
        <f t="shared" si="15"/>
        <v/>
      </c>
      <c r="E317" s="6" t="str">
        <f t="shared" si="16"/>
        <v/>
      </c>
      <c r="F317" s="5" t="str">
        <f t="shared" si="17"/>
        <v/>
      </c>
    </row>
    <row r="318" spans="1:6" x14ac:dyDescent="0.35">
      <c r="A318" s="8"/>
      <c r="B318" s="7"/>
      <c r="D318" s="6" t="str">
        <f t="shared" si="15"/>
        <v/>
      </c>
      <c r="E318" s="6" t="str">
        <f t="shared" si="16"/>
        <v/>
      </c>
      <c r="F318" s="5" t="str">
        <f t="shared" si="17"/>
        <v/>
      </c>
    </row>
    <row r="319" spans="1:6" x14ac:dyDescent="0.35">
      <c r="A319" s="10"/>
      <c r="B319" s="9"/>
      <c r="D319" s="6" t="str">
        <f t="shared" si="15"/>
        <v/>
      </c>
      <c r="E319" s="6" t="str">
        <f t="shared" si="16"/>
        <v/>
      </c>
      <c r="F319" s="5" t="str">
        <f t="shared" si="17"/>
        <v/>
      </c>
    </row>
    <row r="320" spans="1:6" x14ac:dyDescent="0.35">
      <c r="A320" s="8"/>
      <c r="B320" s="7"/>
      <c r="D320" s="6" t="str">
        <f t="shared" si="15"/>
        <v/>
      </c>
      <c r="E320" s="6" t="str">
        <f t="shared" si="16"/>
        <v/>
      </c>
      <c r="F320" s="5" t="str">
        <f t="shared" si="17"/>
        <v/>
      </c>
    </row>
    <row r="321" spans="1:6" x14ac:dyDescent="0.35">
      <c r="A321" s="10"/>
      <c r="B321" s="9"/>
      <c r="D321" s="6" t="str">
        <f t="shared" si="15"/>
        <v/>
      </c>
      <c r="E321" s="6" t="str">
        <f t="shared" si="16"/>
        <v/>
      </c>
      <c r="F321" s="5" t="str">
        <f t="shared" si="17"/>
        <v/>
      </c>
    </row>
    <row r="322" spans="1:6" x14ac:dyDescent="0.35">
      <c r="A322" s="8"/>
      <c r="B322" s="7"/>
      <c r="D322" s="6" t="str">
        <f t="shared" si="15"/>
        <v/>
      </c>
      <c r="E322" s="6" t="str">
        <f t="shared" si="16"/>
        <v/>
      </c>
      <c r="F322" s="5" t="str">
        <f t="shared" si="17"/>
        <v/>
      </c>
    </row>
    <row r="323" spans="1:6" x14ac:dyDescent="0.35">
      <c r="A323" s="10"/>
      <c r="B323" s="9"/>
      <c r="D323" s="6" t="str">
        <f t="shared" si="15"/>
        <v/>
      </c>
      <c r="E323" s="6" t="str">
        <f t="shared" si="16"/>
        <v/>
      </c>
      <c r="F323" s="5" t="str">
        <f t="shared" si="17"/>
        <v/>
      </c>
    </row>
    <row r="324" spans="1:6" x14ac:dyDescent="0.35">
      <c r="A324" s="8"/>
      <c r="B324" s="7"/>
      <c r="D324" s="6" t="str">
        <f t="shared" si="15"/>
        <v/>
      </c>
      <c r="E324" s="6" t="str">
        <f t="shared" si="16"/>
        <v/>
      </c>
      <c r="F324" s="5" t="str">
        <f t="shared" si="17"/>
        <v/>
      </c>
    </row>
    <row r="325" spans="1:6" x14ac:dyDescent="0.35">
      <c r="A325" s="10"/>
      <c r="B325" s="9"/>
      <c r="D325" s="6" t="str">
        <f t="shared" si="15"/>
        <v/>
      </c>
      <c r="E325" s="6" t="str">
        <f t="shared" si="16"/>
        <v/>
      </c>
      <c r="F325" s="5" t="str">
        <f t="shared" si="17"/>
        <v/>
      </c>
    </row>
    <row r="326" spans="1:6" x14ac:dyDescent="0.35">
      <c r="A326" s="8"/>
      <c r="B326" s="7"/>
      <c r="D326" s="6" t="str">
        <f t="shared" si="15"/>
        <v/>
      </c>
      <c r="E326" s="6" t="str">
        <f t="shared" si="16"/>
        <v/>
      </c>
      <c r="F326" s="5" t="str">
        <f t="shared" si="17"/>
        <v/>
      </c>
    </row>
    <row r="327" spans="1:6" x14ac:dyDescent="0.35">
      <c r="A327" s="10"/>
      <c r="B327" s="9"/>
      <c r="D327" s="6" t="str">
        <f t="shared" si="15"/>
        <v/>
      </c>
      <c r="E327" s="6" t="str">
        <f t="shared" si="16"/>
        <v/>
      </c>
      <c r="F327" s="5" t="str">
        <f t="shared" si="17"/>
        <v/>
      </c>
    </row>
    <row r="328" spans="1:6" x14ac:dyDescent="0.35">
      <c r="A328" s="8"/>
      <c r="B328" s="7"/>
      <c r="D328" s="6" t="str">
        <f t="shared" si="15"/>
        <v/>
      </c>
      <c r="E328" s="6" t="str">
        <f t="shared" si="16"/>
        <v/>
      </c>
      <c r="F328" s="5" t="str">
        <f t="shared" si="17"/>
        <v/>
      </c>
    </row>
    <row r="329" spans="1:6" x14ac:dyDescent="0.35">
      <c r="A329" s="10"/>
      <c r="B329" s="9"/>
      <c r="D329" s="6" t="str">
        <f t="shared" si="15"/>
        <v/>
      </c>
      <c r="E329" s="6" t="str">
        <f t="shared" si="16"/>
        <v/>
      </c>
      <c r="F329" s="5" t="str">
        <f t="shared" si="17"/>
        <v/>
      </c>
    </row>
    <row r="330" spans="1:6" x14ac:dyDescent="0.35">
      <c r="A330" s="8"/>
      <c r="B330" s="7"/>
      <c r="D330" s="6" t="str">
        <f t="shared" si="15"/>
        <v/>
      </c>
      <c r="E330" s="6" t="str">
        <f t="shared" si="16"/>
        <v/>
      </c>
      <c r="F330" s="5" t="str">
        <f t="shared" si="17"/>
        <v/>
      </c>
    </row>
    <row r="331" spans="1:6" x14ac:dyDescent="0.35">
      <c r="A331" s="10"/>
      <c r="B331" s="9"/>
      <c r="D331" s="6" t="str">
        <f t="shared" si="15"/>
        <v/>
      </c>
      <c r="E331" s="6" t="str">
        <f t="shared" si="16"/>
        <v/>
      </c>
      <c r="F331" s="5" t="str">
        <f t="shared" si="17"/>
        <v/>
      </c>
    </row>
    <row r="332" spans="1:6" x14ac:dyDescent="0.35">
      <c r="A332" s="8"/>
      <c r="B332" s="7"/>
      <c r="D332" s="6" t="str">
        <f t="shared" si="15"/>
        <v/>
      </c>
      <c r="E332" s="6" t="str">
        <f t="shared" si="16"/>
        <v/>
      </c>
      <c r="F332" s="5" t="str">
        <f t="shared" si="17"/>
        <v/>
      </c>
    </row>
    <row r="333" spans="1:6" x14ac:dyDescent="0.35">
      <c r="A333" s="10"/>
      <c r="B333" s="9"/>
      <c r="D333" s="6" t="str">
        <f t="shared" si="15"/>
        <v/>
      </c>
      <c r="E333" s="6" t="str">
        <f t="shared" si="16"/>
        <v/>
      </c>
      <c r="F333" s="5" t="str">
        <f t="shared" si="17"/>
        <v/>
      </c>
    </row>
    <row r="334" spans="1:6" x14ac:dyDescent="0.35">
      <c r="A334" s="8"/>
      <c r="B334" s="7"/>
      <c r="D334" s="6" t="str">
        <f t="shared" si="15"/>
        <v/>
      </c>
      <c r="E334" s="6" t="str">
        <f t="shared" si="16"/>
        <v/>
      </c>
      <c r="F334" s="5" t="str">
        <f t="shared" si="17"/>
        <v/>
      </c>
    </row>
    <row r="335" spans="1:6" x14ac:dyDescent="0.35">
      <c r="A335" s="10"/>
      <c r="B335" s="9"/>
      <c r="D335" s="6" t="str">
        <f t="shared" si="15"/>
        <v/>
      </c>
      <c r="E335" s="6" t="str">
        <f t="shared" si="16"/>
        <v/>
      </c>
      <c r="F335" s="5" t="str">
        <f t="shared" si="17"/>
        <v/>
      </c>
    </row>
    <row r="336" spans="1:6" x14ac:dyDescent="0.35">
      <c r="A336" s="8"/>
      <c r="B336" s="7"/>
      <c r="D336" s="6" t="str">
        <f t="shared" si="15"/>
        <v/>
      </c>
      <c r="E336" s="6" t="str">
        <f t="shared" si="16"/>
        <v/>
      </c>
      <c r="F336" s="5" t="str">
        <f t="shared" si="17"/>
        <v/>
      </c>
    </row>
    <row r="337" spans="1:6" x14ac:dyDescent="0.35">
      <c r="A337" s="10"/>
      <c r="B337" s="9"/>
      <c r="D337" s="6" t="str">
        <f t="shared" si="15"/>
        <v/>
      </c>
      <c r="E337" s="6" t="str">
        <f t="shared" si="16"/>
        <v/>
      </c>
      <c r="F337" s="5" t="str">
        <f t="shared" si="17"/>
        <v/>
      </c>
    </row>
    <row r="338" spans="1:6" x14ac:dyDescent="0.35">
      <c r="A338" s="8"/>
      <c r="B338" s="7"/>
      <c r="D338" s="6" t="str">
        <f t="shared" si="15"/>
        <v/>
      </c>
      <c r="E338" s="6" t="str">
        <f t="shared" si="16"/>
        <v/>
      </c>
      <c r="F338" s="5" t="str">
        <f t="shared" si="17"/>
        <v/>
      </c>
    </row>
    <row r="339" spans="1:6" x14ac:dyDescent="0.35">
      <c r="A339" s="10"/>
      <c r="B339" s="9"/>
      <c r="D339" s="6" t="str">
        <f t="shared" si="15"/>
        <v/>
      </c>
      <c r="E339" s="6" t="str">
        <f t="shared" si="16"/>
        <v/>
      </c>
      <c r="F339" s="5" t="str">
        <f t="shared" si="17"/>
        <v/>
      </c>
    </row>
    <row r="340" spans="1:6" x14ac:dyDescent="0.35">
      <c r="A340" s="8"/>
      <c r="B340" s="7"/>
      <c r="D340" s="6" t="str">
        <f t="shared" si="15"/>
        <v/>
      </c>
      <c r="E340" s="6" t="str">
        <f t="shared" si="16"/>
        <v/>
      </c>
      <c r="F340" s="5" t="str">
        <f t="shared" si="17"/>
        <v/>
      </c>
    </row>
    <row r="341" spans="1:6" x14ac:dyDescent="0.35">
      <c r="A341" s="10"/>
      <c r="B341" s="9"/>
      <c r="D341" s="6" t="str">
        <f t="shared" si="15"/>
        <v/>
      </c>
      <c r="E341" s="6" t="str">
        <f t="shared" si="16"/>
        <v/>
      </c>
      <c r="F341" s="5" t="str">
        <f t="shared" si="17"/>
        <v/>
      </c>
    </row>
    <row r="342" spans="1:6" x14ac:dyDescent="0.35">
      <c r="A342" s="8"/>
      <c r="B342" s="7"/>
      <c r="D342" s="6" t="str">
        <f t="shared" si="15"/>
        <v/>
      </c>
      <c r="E342" s="6" t="str">
        <f t="shared" si="16"/>
        <v/>
      </c>
      <c r="F342" s="5" t="str">
        <f t="shared" si="17"/>
        <v/>
      </c>
    </row>
    <row r="343" spans="1:6" x14ac:dyDescent="0.35">
      <c r="A343" s="10"/>
      <c r="B343" s="9"/>
      <c r="D343" s="6" t="str">
        <f t="shared" si="15"/>
        <v/>
      </c>
      <c r="E343" s="6" t="str">
        <f t="shared" si="16"/>
        <v/>
      </c>
      <c r="F343" s="5" t="str">
        <f t="shared" si="17"/>
        <v/>
      </c>
    </row>
    <row r="344" spans="1:6" x14ac:dyDescent="0.35">
      <c r="A344" s="8"/>
      <c r="B344" s="7"/>
      <c r="D344" s="6" t="str">
        <f t="shared" si="15"/>
        <v/>
      </c>
      <c r="E344" s="6" t="str">
        <f t="shared" si="16"/>
        <v/>
      </c>
      <c r="F344" s="5" t="str">
        <f t="shared" si="17"/>
        <v/>
      </c>
    </row>
    <row r="345" spans="1:6" x14ac:dyDescent="0.35">
      <c r="A345" s="10"/>
      <c r="B345" s="9"/>
      <c r="D345" s="6" t="str">
        <f t="shared" ref="D345:D382" si="18">IF(A345 =  "", "",  TEXT(A345, "mm/dd/yyyy"))</f>
        <v/>
      </c>
      <c r="E345" s="6" t="str">
        <f t="shared" ref="E345:E382" si="19">IF(A345="", "", EntityLocal)</f>
        <v/>
      </c>
      <c r="F345" s="5" t="str">
        <f t="shared" ref="F345:F382" si="20">IF(B345="","", B345)</f>
        <v/>
      </c>
    </row>
    <row r="346" spans="1:6" x14ac:dyDescent="0.35">
      <c r="A346" s="8"/>
      <c r="B346" s="7"/>
      <c r="D346" s="6" t="str">
        <f t="shared" si="18"/>
        <v/>
      </c>
      <c r="E346" s="6" t="str">
        <f t="shared" si="19"/>
        <v/>
      </c>
      <c r="F346" s="5" t="str">
        <f t="shared" si="20"/>
        <v/>
      </c>
    </row>
    <row r="347" spans="1:6" x14ac:dyDescent="0.35">
      <c r="A347" s="10"/>
      <c r="B347" s="9"/>
      <c r="D347" s="6" t="str">
        <f t="shared" si="18"/>
        <v/>
      </c>
      <c r="E347" s="6" t="str">
        <f t="shared" si="19"/>
        <v/>
      </c>
      <c r="F347" s="5" t="str">
        <f t="shared" si="20"/>
        <v/>
      </c>
    </row>
    <row r="348" spans="1:6" x14ac:dyDescent="0.35">
      <c r="A348" s="8"/>
      <c r="B348" s="7"/>
      <c r="D348" s="6" t="str">
        <f t="shared" si="18"/>
        <v/>
      </c>
      <c r="E348" s="6" t="str">
        <f t="shared" si="19"/>
        <v/>
      </c>
      <c r="F348" s="5" t="str">
        <f t="shared" si="20"/>
        <v/>
      </c>
    </row>
    <row r="349" spans="1:6" x14ac:dyDescent="0.35">
      <c r="A349" s="10"/>
      <c r="B349" s="9"/>
      <c r="D349" s="6" t="str">
        <f t="shared" si="18"/>
        <v/>
      </c>
      <c r="E349" s="6" t="str">
        <f t="shared" si="19"/>
        <v/>
      </c>
      <c r="F349" s="5" t="str">
        <f t="shared" si="20"/>
        <v/>
      </c>
    </row>
    <row r="350" spans="1:6" x14ac:dyDescent="0.35">
      <c r="A350" s="8"/>
      <c r="B350" s="7"/>
      <c r="D350" s="6" t="str">
        <f t="shared" si="18"/>
        <v/>
      </c>
      <c r="E350" s="6" t="str">
        <f t="shared" si="19"/>
        <v/>
      </c>
      <c r="F350" s="5" t="str">
        <f t="shared" si="20"/>
        <v/>
      </c>
    </row>
    <row r="351" spans="1:6" x14ac:dyDescent="0.35">
      <c r="A351" s="10"/>
      <c r="B351" s="9"/>
      <c r="D351" s="6" t="str">
        <f t="shared" si="18"/>
        <v/>
      </c>
      <c r="E351" s="6" t="str">
        <f t="shared" si="19"/>
        <v/>
      </c>
      <c r="F351" s="5" t="str">
        <f t="shared" si="20"/>
        <v/>
      </c>
    </row>
    <row r="352" spans="1:6" x14ac:dyDescent="0.35">
      <c r="A352" s="8"/>
      <c r="B352" s="7"/>
      <c r="D352" s="6" t="str">
        <f t="shared" si="18"/>
        <v/>
      </c>
      <c r="E352" s="6" t="str">
        <f t="shared" si="19"/>
        <v/>
      </c>
      <c r="F352" s="5" t="str">
        <f t="shared" si="20"/>
        <v/>
      </c>
    </row>
    <row r="353" spans="1:6" x14ac:dyDescent="0.35">
      <c r="A353" s="10"/>
      <c r="B353" s="9"/>
      <c r="D353" s="6" t="str">
        <f t="shared" si="18"/>
        <v/>
      </c>
      <c r="E353" s="6" t="str">
        <f t="shared" si="19"/>
        <v/>
      </c>
      <c r="F353" s="5" t="str">
        <f t="shared" si="20"/>
        <v/>
      </c>
    </row>
    <row r="354" spans="1:6" x14ac:dyDescent="0.35">
      <c r="A354" s="8"/>
      <c r="B354" s="7"/>
      <c r="D354" s="6" t="str">
        <f t="shared" si="18"/>
        <v/>
      </c>
      <c r="E354" s="6" t="str">
        <f t="shared" si="19"/>
        <v/>
      </c>
      <c r="F354" s="5" t="str">
        <f t="shared" si="20"/>
        <v/>
      </c>
    </row>
    <row r="355" spans="1:6" x14ac:dyDescent="0.35">
      <c r="A355" s="10"/>
      <c r="B355" s="9"/>
      <c r="D355" s="6" t="str">
        <f t="shared" si="18"/>
        <v/>
      </c>
      <c r="E355" s="6" t="str">
        <f t="shared" si="19"/>
        <v/>
      </c>
      <c r="F355" s="5" t="str">
        <f t="shared" si="20"/>
        <v/>
      </c>
    </row>
    <row r="356" spans="1:6" x14ac:dyDescent="0.35">
      <c r="A356" s="8"/>
      <c r="B356" s="7"/>
      <c r="D356" s="6" t="str">
        <f t="shared" si="18"/>
        <v/>
      </c>
      <c r="E356" s="6" t="str">
        <f t="shared" si="19"/>
        <v/>
      </c>
      <c r="F356" s="5" t="str">
        <f t="shared" si="20"/>
        <v/>
      </c>
    </row>
    <row r="357" spans="1:6" x14ac:dyDescent="0.35">
      <c r="A357" s="10"/>
      <c r="B357" s="9"/>
      <c r="D357" s="6" t="str">
        <f t="shared" si="18"/>
        <v/>
      </c>
      <c r="E357" s="6" t="str">
        <f t="shared" si="19"/>
        <v/>
      </c>
      <c r="F357" s="5" t="str">
        <f t="shared" si="20"/>
        <v/>
      </c>
    </row>
    <row r="358" spans="1:6" x14ac:dyDescent="0.35">
      <c r="A358" s="8"/>
      <c r="B358" s="7"/>
      <c r="D358" s="6" t="str">
        <f t="shared" si="18"/>
        <v/>
      </c>
      <c r="E358" s="6" t="str">
        <f t="shared" si="19"/>
        <v/>
      </c>
      <c r="F358" s="5" t="str">
        <f t="shared" si="20"/>
        <v/>
      </c>
    </row>
    <row r="359" spans="1:6" x14ac:dyDescent="0.35">
      <c r="A359" s="10"/>
      <c r="B359" s="9"/>
      <c r="D359" s="6" t="str">
        <f t="shared" si="18"/>
        <v/>
      </c>
      <c r="E359" s="6" t="str">
        <f t="shared" si="19"/>
        <v/>
      </c>
      <c r="F359" s="5" t="str">
        <f t="shared" si="20"/>
        <v/>
      </c>
    </row>
    <row r="360" spans="1:6" x14ac:dyDescent="0.35">
      <c r="A360" s="8"/>
      <c r="B360" s="7"/>
      <c r="D360" s="6" t="str">
        <f t="shared" si="18"/>
        <v/>
      </c>
      <c r="E360" s="6" t="str">
        <f t="shared" si="19"/>
        <v/>
      </c>
      <c r="F360" s="5" t="str">
        <f t="shared" si="20"/>
        <v/>
      </c>
    </row>
    <row r="361" spans="1:6" x14ac:dyDescent="0.35">
      <c r="A361" s="10"/>
      <c r="B361" s="9"/>
      <c r="D361" s="6" t="str">
        <f t="shared" si="18"/>
        <v/>
      </c>
      <c r="E361" s="6" t="str">
        <f t="shared" si="19"/>
        <v/>
      </c>
      <c r="F361" s="5" t="str">
        <f t="shared" si="20"/>
        <v/>
      </c>
    </row>
    <row r="362" spans="1:6" x14ac:dyDescent="0.35">
      <c r="A362" s="8"/>
      <c r="B362" s="7"/>
      <c r="D362" s="6" t="str">
        <f t="shared" si="18"/>
        <v/>
      </c>
      <c r="E362" s="6" t="str">
        <f t="shared" si="19"/>
        <v/>
      </c>
      <c r="F362" s="5" t="str">
        <f t="shared" si="20"/>
        <v/>
      </c>
    </row>
    <row r="363" spans="1:6" x14ac:dyDescent="0.35">
      <c r="A363" s="10"/>
      <c r="B363" s="9"/>
      <c r="D363" s="6" t="str">
        <f t="shared" si="18"/>
        <v/>
      </c>
      <c r="E363" s="6" t="str">
        <f t="shared" si="19"/>
        <v/>
      </c>
      <c r="F363" s="5" t="str">
        <f t="shared" si="20"/>
        <v/>
      </c>
    </row>
    <row r="364" spans="1:6" x14ac:dyDescent="0.35">
      <c r="A364" s="8"/>
      <c r="B364" s="7"/>
      <c r="D364" s="6" t="str">
        <f t="shared" si="18"/>
        <v/>
      </c>
      <c r="E364" s="6" t="str">
        <f t="shared" si="19"/>
        <v/>
      </c>
      <c r="F364" s="5" t="str">
        <f t="shared" si="20"/>
        <v/>
      </c>
    </row>
    <row r="365" spans="1:6" x14ac:dyDescent="0.35">
      <c r="A365" s="10"/>
      <c r="B365" s="9"/>
      <c r="D365" s="6" t="str">
        <f t="shared" si="18"/>
        <v/>
      </c>
      <c r="E365" s="6" t="str">
        <f t="shared" si="19"/>
        <v/>
      </c>
      <c r="F365" s="5" t="str">
        <f t="shared" si="20"/>
        <v/>
      </c>
    </row>
    <row r="366" spans="1:6" x14ac:dyDescent="0.35">
      <c r="A366" s="8"/>
      <c r="B366" s="7"/>
      <c r="D366" s="6" t="str">
        <f t="shared" si="18"/>
        <v/>
      </c>
      <c r="E366" s="6" t="str">
        <f t="shared" si="19"/>
        <v/>
      </c>
      <c r="F366" s="5" t="str">
        <f t="shared" si="20"/>
        <v/>
      </c>
    </row>
    <row r="367" spans="1:6" x14ac:dyDescent="0.35">
      <c r="A367" s="10"/>
      <c r="B367" s="9"/>
      <c r="D367" s="6" t="str">
        <f t="shared" si="18"/>
        <v/>
      </c>
      <c r="E367" s="6" t="str">
        <f t="shared" si="19"/>
        <v/>
      </c>
      <c r="F367" s="5" t="str">
        <f t="shared" si="20"/>
        <v/>
      </c>
    </row>
    <row r="368" spans="1:6" x14ac:dyDescent="0.35">
      <c r="A368" s="8"/>
      <c r="B368" s="7"/>
      <c r="D368" s="6" t="str">
        <f t="shared" si="18"/>
        <v/>
      </c>
      <c r="E368" s="6" t="str">
        <f t="shared" si="19"/>
        <v/>
      </c>
      <c r="F368" s="5" t="str">
        <f t="shared" si="20"/>
        <v/>
      </c>
    </row>
    <row r="369" spans="1:6" x14ac:dyDescent="0.35">
      <c r="A369" s="10"/>
      <c r="B369" s="9"/>
      <c r="D369" s="6" t="str">
        <f t="shared" si="18"/>
        <v/>
      </c>
      <c r="E369" s="6" t="str">
        <f t="shared" si="19"/>
        <v/>
      </c>
      <c r="F369" s="5" t="str">
        <f t="shared" si="20"/>
        <v/>
      </c>
    </row>
    <row r="370" spans="1:6" x14ac:dyDescent="0.35">
      <c r="A370" s="8"/>
      <c r="B370" s="7"/>
      <c r="D370" s="6" t="str">
        <f t="shared" si="18"/>
        <v/>
      </c>
      <c r="E370" s="6" t="str">
        <f t="shared" si="19"/>
        <v/>
      </c>
      <c r="F370" s="5" t="str">
        <f t="shared" si="20"/>
        <v/>
      </c>
    </row>
    <row r="371" spans="1:6" x14ac:dyDescent="0.35">
      <c r="A371" s="10"/>
      <c r="B371" s="9"/>
      <c r="D371" s="6" t="str">
        <f t="shared" si="18"/>
        <v/>
      </c>
      <c r="E371" s="6" t="str">
        <f t="shared" si="19"/>
        <v/>
      </c>
      <c r="F371" s="5" t="str">
        <f t="shared" si="20"/>
        <v/>
      </c>
    </row>
    <row r="372" spans="1:6" x14ac:dyDescent="0.35">
      <c r="A372" s="8"/>
      <c r="B372" s="7"/>
      <c r="D372" s="6" t="str">
        <f t="shared" si="18"/>
        <v/>
      </c>
      <c r="E372" s="6" t="str">
        <f t="shared" si="19"/>
        <v/>
      </c>
      <c r="F372" s="5" t="str">
        <f t="shared" si="20"/>
        <v/>
      </c>
    </row>
    <row r="373" spans="1:6" x14ac:dyDescent="0.35">
      <c r="A373" s="10"/>
      <c r="B373" s="9"/>
      <c r="D373" s="6" t="str">
        <f t="shared" si="18"/>
        <v/>
      </c>
      <c r="E373" s="6" t="str">
        <f t="shared" si="19"/>
        <v/>
      </c>
      <c r="F373" s="5" t="str">
        <f t="shared" si="20"/>
        <v/>
      </c>
    </row>
    <row r="374" spans="1:6" x14ac:dyDescent="0.35">
      <c r="A374" s="8"/>
      <c r="B374" s="7"/>
      <c r="D374" s="6" t="str">
        <f t="shared" si="18"/>
        <v/>
      </c>
      <c r="E374" s="6" t="str">
        <f t="shared" si="19"/>
        <v/>
      </c>
      <c r="F374" s="5" t="str">
        <f t="shared" si="20"/>
        <v/>
      </c>
    </row>
    <row r="375" spans="1:6" x14ac:dyDescent="0.35">
      <c r="A375" s="10"/>
      <c r="B375" s="9"/>
      <c r="D375" s="6" t="str">
        <f t="shared" si="18"/>
        <v/>
      </c>
      <c r="E375" s="6" t="str">
        <f t="shared" si="19"/>
        <v/>
      </c>
      <c r="F375" s="5" t="str">
        <f t="shared" si="20"/>
        <v/>
      </c>
    </row>
    <row r="376" spans="1:6" x14ac:dyDescent="0.35">
      <c r="A376" s="8"/>
      <c r="B376" s="7"/>
      <c r="D376" s="6" t="str">
        <f t="shared" si="18"/>
        <v/>
      </c>
      <c r="E376" s="6" t="str">
        <f t="shared" si="19"/>
        <v/>
      </c>
      <c r="F376" s="5" t="str">
        <f t="shared" si="20"/>
        <v/>
      </c>
    </row>
    <row r="377" spans="1:6" x14ac:dyDescent="0.35">
      <c r="A377" s="10"/>
      <c r="B377" s="9"/>
      <c r="D377" s="6" t="str">
        <f t="shared" si="18"/>
        <v/>
      </c>
      <c r="E377" s="6" t="str">
        <f t="shared" si="19"/>
        <v/>
      </c>
      <c r="F377" s="5" t="str">
        <f t="shared" si="20"/>
        <v/>
      </c>
    </row>
    <row r="378" spans="1:6" x14ac:dyDescent="0.35">
      <c r="A378" s="8"/>
      <c r="B378" s="7"/>
      <c r="D378" s="6" t="str">
        <f t="shared" si="18"/>
        <v/>
      </c>
      <c r="E378" s="6" t="str">
        <f t="shared" si="19"/>
        <v/>
      </c>
      <c r="F378" s="5" t="str">
        <f t="shared" si="20"/>
        <v/>
      </c>
    </row>
    <row r="379" spans="1:6" x14ac:dyDescent="0.35">
      <c r="A379" s="10"/>
      <c r="B379" s="9"/>
      <c r="D379" s="6" t="str">
        <f t="shared" si="18"/>
        <v/>
      </c>
      <c r="E379" s="6" t="str">
        <f t="shared" si="19"/>
        <v/>
      </c>
      <c r="F379" s="5" t="str">
        <f t="shared" si="20"/>
        <v/>
      </c>
    </row>
    <row r="380" spans="1:6" x14ac:dyDescent="0.35">
      <c r="A380" s="8"/>
      <c r="B380" s="7"/>
      <c r="D380" s="6" t="str">
        <f t="shared" si="18"/>
        <v/>
      </c>
      <c r="E380" s="6" t="str">
        <f t="shared" si="19"/>
        <v/>
      </c>
      <c r="F380" s="5" t="str">
        <f t="shared" si="20"/>
        <v/>
      </c>
    </row>
    <row r="381" spans="1:6" x14ac:dyDescent="0.35">
      <c r="A381" s="10"/>
      <c r="B381" s="9"/>
      <c r="D381" s="6" t="str">
        <f t="shared" si="18"/>
        <v/>
      </c>
      <c r="E381" s="6" t="str">
        <f t="shared" si="19"/>
        <v/>
      </c>
      <c r="F381" s="5" t="str">
        <f t="shared" si="20"/>
        <v/>
      </c>
    </row>
    <row r="382" spans="1:6" x14ac:dyDescent="0.35">
      <c r="A382" s="8"/>
      <c r="B382" s="7"/>
      <c r="D382" s="6" t="str">
        <f t="shared" si="18"/>
        <v/>
      </c>
      <c r="E382" s="6" t="str">
        <f t="shared" si="19"/>
        <v/>
      </c>
      <c r="F382" s="5" t="str">
        <f t="shared" si="20"/>
        <v/>
      </c>
    </row>
    <row r="383" spans="1:6" x14ac:dyDescent="0.35">
      <c r="A383" s="10"/>
      <c r="B383" s="9"/>
      <c r="D383" s="6" t="str">
        <f t="shared" ref="D383:D446" si="21">IF(A383 =  "", "",  TEXT(A383, "mm/dd/yyyy"))</f>
        <v/>
      </c>
      <c r="E383" s="6" t="str">
        <f t="shared" ref="E383:E446" si="22">IF(A383="", "", EntityLocal)</f>
        <v/>
      </c>
      <c r="F383" s="5" t="str">
        <f t="shared" ref="F383:F446" si="23">IF(B383="","", B383)</f>
        <v/>
      </c>
    </row>
    <row r="384" spans="1:6" x14ac:dyDescent="0.35">
      <c r="A384" s="8"/>
      <c r="B384" s="7"/>
      <c r="D384" s="6" t="str">
        <f t="shared" si="21"/>
        <v/>
      </c>
      <c r="E384" s="6" t="str">
        <f t="shared" si="22"/>
        <v/>
      </c>
      <c r="F384" s="5" t="str">
        <f t="shared" si="23"/>
        <v/>
      </c>
    </row>
    <row r="385" spans="1:6" x14ac:dyDescent="0.35">
      <c r="A385" s="10"/>
      <c r="B385" s="9"/>
      <c r="D385" s="6" t="str">
        <f t="shared" si="21"/>
        <v/>
      </c>
      <c r="E385" s="6" t="str">
        <f t="shared" si="22"/>
        <v/>
      </c>
      <c r="F385" s="5" t="str">
        <f t="shared" si="23"/>
        <v/>
      </c>
    </row>
    <row r="386" spans="1:6" x14ac:dyDescent="0.35">
      <c r="A386" s="8"/>
      <c r="B386" s="7"/>
      <c r="D386" s="6" t="str">
        <f t="shared" si="21"/>
        <v/>
      </c>
      <c r="E386" s="6" t="str">
        <f t="shared" si="22"/>
        <v/>
      </c>
      <c r="F386" s="5" t="str">
        <f t="shared" si="23"/>
        <v/>
      </c>
    </row>
    <row r="387" spans="1:6" x14ac:dyDescent="0.35">
      <c r="A387" s="10"/>
      <c r="B387" s="9"/>
      <c r="D387" s="6" t="str">
        <f t="shared" si="21"/>
        <v/>
      </c>
      <c r="E387" s="6" t="str">
        <f t="shared" si="22"/>
        <v/>
      </c>
      <c r="F387" s="5" t="str">
        <f t="shared" si="23"/>
        <v/>
      </c>
    </row>
    <row r="388" spans="1:6" x14ac:dyDescent="0.35">
      <c r="A388" s="8"/>
      <c r="B388" s="7"/>
      <c r="D388" s="6" t="str">
        <f t="shared" si="21"/>
        <v/>
      </c>
      <c r="E388" s="6" t="str">
        <f t="shared" si="22"/>
        <v/>
      </c>
      <c r="F388" s="5" t="str">
        <f t="shared" si="23"/>
        <v/>
      </c>
    </row>
    <row r="389" spans="1:6" x14ac:dyDescent="0.35">
      <c r="A389" s="10"/>
      <c r="B389" s="9"/>
      <c r="D389" s="6" t="str">
        <f t="shared" si="21"/>
        <v/>
      </c>
      <c r="E389" s="6" t="str">
        <f t="shared" si="22"/>
        <v/>
      </c>
      <c r="F389" s="5" t="str">
        <f t="shared" si="23"/>
        <v/>
      </c>
    </row>
    <row r="390" spans="1:6" x14ac:dyDescent="0.35">
      <c r="A390" s="8"/>
      <c r="B390" s="7"/>
      <c r="D390" s="6" t="str">
        <f t="shared" si="21"/>
        <v/>
      </c>
      <c r="E390" s="6" t="str">
        <f t="shared" si="22"/>
        <v/>
      </c>
      <c r="F390" s="5" t="str">
        <f t="shared" si="23"/>
        <v/>
      </c>
    </row>
    <row r="391" spans="1:6" x14ac:dyDescent="0.35">
      <c r="A391" s="10"/>
      <c r="B391" s="9"/>
      <c r="D391" s="6" t="str">
        <f t="shared" si="21"/>
        <v/>
      </c>
      <c r="E391" s="6" t="str">
        <f t="shared" si="22"/>
        <v/>
      </c>
      <c r="F391" s="5" t="str">
        <f t="shared" si="23"/>
        <v/>
      </c>
    </row>
    <row r="392" spans="1:6" x14ac:dyDescent="0.35">
      <c r="A392" s="8"/>
      <c r="B392" s="7"/>
      <c r="D392" s="6" t="str">
        <f t="shared" si="21"/>
        <v/>
      </c>
      <c r="E392" s="6" t="str">
        <f t="shared" si="22"/>
        <v/>
      </c>
      <c r="F392" s="5" t="str">
        <f t="shared" si="23"/>
        <v/>
      </c>
    </row>
    <row r="393" spans="1:6" x14ac:dyDescent="0.35">
      <c r="A393" s="10"/>
      <c r="B393" s="9"/>
      <c r="D393" s="6" t="str">
        <f t="shared" si="21"/>
        <v/>
      </c>
      <c r="E393" s="6" t="str">
        <f t="shared" si="22"/>
        <v/>
      </c>
      <c r="F393" s="5" t="str">
        <f t="shared" si="23"/>
        <v/>
      </c>
    </row>
    <row r="394" spans="1:6" x14ac:dyDescent="0.35">
      <c r="A394" s="8"/>
      <c r="B394" s="7"/>
      <c r="D394" s="6" t="str">
        <f t="shared" si="21"/>
        <v/>
      </c>
      <c r="E394" s="6" t="str">
        <f t="shared" si="22"/>
        <v/>
      </c>
      <c r="F394" s="5" t="str">
        <f t="shared" si="23"/>
        <v/>
      </c>
    </row>
    <row r="395" spans="1:6" x14ac:dyDescent="0.35">
      <c r="A395" s="10"/>
      <c r="B395" s="9"/>
      <c r="D395" s="6" t="str">
        <f t="shared" si="21"/>
        <v/>
      </c>
      <c r="E395" s="6" t="str">
        <f t="shared" si="22"/>
        <v/>
      </c>
      <c r="F395" s="5" t="str">
        <f t="shared" si="23"/>
        <v/>
      </c>
    </row>
    <row r="396" spans="1:6" x14ac:dyDescent="0.35">
      <c r="A396" s="8"/>
      <c r="B396" s="7"/>
      <c r="D396" s="6" t="str">
        <f t="shared" si="21"/>
        <v/>
      </c>
      <c r="E396" s="6" t="str">
        <f t="shared" si="22"/>
        <v/>
      </c>
      <c r="F396" s="5" t="str">
        <f t="shared" si="23"/>
        <v/>
      </c>
    </row>
    <row r="397" spans="1:6" x14ac:dyDescent="0.35">
      <c r="A397" s="10"/>
      <c r="B397" s="9"/>
      <c r="D397" s="6" t="str">
        <f t="shared" si="21"/>
        <v/>
      </c>
      <c r="E397" s="6" t="str">
        <f t="shared" si="22"/>
        <v/>
      </c>
      <c r="F397" s="5" t="str">
        <f t="shared" si="23"/>
        <v/>
      </c>
    </row>
    <row r="398" spans="1:6" x14ac:dyDescent="0.35">
      <c r="A398" s="8"/>
      <c r="B398" s="7"/>
      <c r="D398" s="6" t="str">
        <f t="shared" si="21"/>
        <v/>
      </c>
      <c r="E398" s="6" t="str">
        <f t="shared" si="22"/>
        <v/>
      </c>
      <c r="F398" s="5" t="str">
        <f t="shared" si="23"/>
        <v/>
      </c>
    </row>
    <row r="399" spans="1:6" x14ac:dyDescent="0.35">
      <c r="A399" s="10"/>
      <c r="B399" s="9"/>
      <c r="D399" s="6" t="str">
        <f t="shared" si="21"/>
        <v/>
      </c>
      <c r="E399" s="6" t="str">
        <f t="shared" si="22"/>
        <v/>
      </c>
      <c r="F399" s="5" t="str">
        <f t="shared" si="23"/>
        <v/>
      </c>
    </row>
    <row r="400" spans="1:6" x14ac:dyDescent="0.35">
      <c r="A400" s="8"/>
      <c r="B400" s="7"/>
      <c r="D400" s="6" t="str">
        <f t="shared" si="21"/>
        <v/>
      </c>
      <c r="E400" s="6" t="str">
        <f t="shared" si="22"/>
        <v/>
      </c>
      <c r="F400" s="5" t="str">
        <f t="shared" si="23"/>
        <v/>
      </c>
    </row>
    <row r="401" spans="1:6" x14ac:dyDescent="0.35">
      <c r="A401" s="10"/>
      <c r="B401" s="9"/>
      <c r="D401" s="6" t="str">
        <f t="shared" si="21"/>
        <v/>
      </c>
      <c r="E401" s="6" t="str">
        <f t="shared" si="22"/>
        <v/>
      </c>
      <c r="F401" s="5" t="str">
        <f t="shared" si="23"/>
        <v/>
      </c>
    </row>
    <row r="402" spans="1:6" x14ac:dyDescent="0.35">
      <c r="A402" s="8"/>
      <c r="B402" s="7"/>
      <c r="D402" s="6" t="str">
        <f t="shared" si="21"/>
        <v/>
      </c>
      <c r="E402" s="6" t="str">
        <f t="shared" si="22"/>
        <v/>
      </c>
      <c r="F402" s="5" t="str">
        <f t="shared" si="23"/>
        <v/>
      </c>
    </row>
    <row r="403" spans="1:6" x14ac:dyDescent="0.35">
      <c r="A403" s="10"/>
      <c r="B403" s="9"/>
      <c r="D403" s="6" t="str">
        <f t="shared" si="21"/>
        <v/>
      </c>
      <c r="E403" s="6" t="str">
        <f t="shared" si="22"/>
        <v/>
      </c>
      <c r="F403" s="5" t="str">
        <f t="shared" si="23"/>
        <v/>
      </c>
    </row>
    <row r="404" spans="1:6" x14ac:dyDescent="0.35">
      <c r="A404" s="8"/>
      <c r="B404" s="7"/>
      <c r="D404" s="6" t="str">
        <f t="shared" si="21"/>
        <v/>
      </c>
      <c r="E404" s="6" t="str">
        <f t="shared" si="22"/>
        <v/>
      </c>
      <c r="F404" s="5" t="str">
        <f t="shared" si="23"/>
        <v/>
      </c>
    </row>
    <row r="405" spans="1:6" x14ac:dyDescent="0.35">
      <c r="A405" s="10"/>
      <c r="B405" s="9"/>
      <c r="D405" s="6" t="str">
        <f t="shared" si="21"/>
        <v/>
      </c>
      <c r="E405" s="6" t="str">
        <f t="shared" si="22"/>
        <v/>
      </c>
      <c r="F405" s="5" t="str">
        <f t="shared" si="23"/>
        <v/>
      </c>
    </row>
    <row r="406" spans="1:6" x14ac:dyDescent="0.35">
      <c r="A406" s="8"/>
      <c r="B406" s="7"/>
      <c r="D406" s="6" t="str">
        <f t="shared" si="21"/>
        <v/>
      </c>
      <c r="E406" s="6" t="str">
        <f t="shared" si="22"/>
        <v/>
      </c>
      <c r="F406" s="5" t="str">
        <f t="shared" si="23"/>
        <v/>
      </c>
    </row>
    <row r="407" spans="1:6" x14ac:dyDescent="0.35">
      <c r="A407" s="10"/>
      <c r="B407" s="9"/>
      <c r="D407" s="6" t="str">
        <f t="shared" si="21"/>
        <v/>
      </c>
      <c r="E407" s="6" t="str">
        <f t="shared" si="22"/>
        <v/>
      </c>
      <c r="F407" s="5" t="str">
        <f t="shared" si="23"/>
        <v/>
      </c>
    </row>
    <row r="408" spans="1:6" x14ac:dyDescent="0.35">
      <c r="A408" s="8"/>
      <c r="B408" s="7"/>
      <c r="D408" s="6" t="str">
        <f t="shared" si="21"/>
        <v/>
      </c>
      <c r="E408" s="6" t="str">
        <f t="shared" si="22"/>
        <v/>
      </c>
      <c r="F408" s="5" t="str">
        <f t="shared" si="23"/>
        <v/>
      </c>
    </row>
    <row r="409" spans="1:6" x14ac:dyDescent="0.35">
      <c r="A409" s="10"/>
      <c r="B409" s="9"/>
      <c r="D409" s="6" t="str">
        <f t="shared" si="21"/>
        <v/>
      </c>
      <c r="E409" s="6" t="str">
        <f t="shared" si="22"/>
        <v/>
      </c>
      <c r="F409" s="5" t="str">
        <f t="shared" si="23"/>
        <v/>
      </c>
    </row>
    <row r="410" spans="1:6" x14ac:dyDescent="0.35">
      <c r="A410" s="8"/>
      <c r="B410" s="7"/>
      <c r="D410" s="6" t="str">
        <f t="shared" si="21"/>
        <v/>
      </c>
      <c r="E410" s="6" t="str">
        <f t="shared" si="22"/>
        <v/>
      </c>
      <c r="F410" s="5" t="str">
        <f t="shared" si="23"/>
        <v/>
      </c>
    </row>
    <row r="411" spans="1:6" x14ac:dyDescent="0.35">
      <c r="A411" s="10"/>
      <c r="B411" s="9"/>
      <c r="D411" s="6" t="str">
        <f t="shared" si="21"/>
        <v/>
      </c>
      <c r="E411" s="6" t="str">
        <f t="shared" si="22"/>
        <v/>
      </c>
      <c r="F411" s="5" t="str">
        <f t="shared" si="23"/>
        <v/>
      </c>
    </row>
    <row r="412" spans="1:6" x14ac:dyDescent="0.35">
      <c r="A412" s="8"/>
      <c r="B412" s="7"/>
      <c r="D412" s="6" t="str">
        <f t="shared" si="21"/>
        <v/>
      </c>
      <c r="E412" s="6" t="str">
        <f t="shared" si="22"/>
        <v/>
      </c>
      <c r="F412" s="5" t="str">
        <f t="shared" si="23"/>
        <v/>
      </c>
    </row>
    <row r="413" spans="1:6" x14ac:dyDescent="0.35">
      <c r="A413" s="10"/>
      <c r="B413" s="9"/>
      <c r="D413" s="6" t="str">
        <f t="shared" si="21"/>
        <v/>
      </c>
      <c r="E413" s="6" t="str">
        <f t="shared" si="22"/>
        <v/>
      </c>
      <c r="F413" s="5" t="str">
        <f t="shared" si="23"/>
        <v/>
      </c>
    </row>
    <row r="414" spans="1:6" x14ac:dyDescent="0.35">
      <c r="A414" s="8"/>
      <c r="B414" s="7"/>
      <c r="D414" s="6" t="str">
        <f t="shared" si="21"/>
        <v/>
      </c>
      <c r="E414" s="6" t="str">
        <f t="shared" si="22"/>
        <v/>
      </c>
      <c r="F414" s="5" t="str">
        <f t="shared" si="23"/>
        <v/>
      </c>
    </row>
    <row r="415" spans="1:6" x14ac:dyDescent="0.35">
      <c r="A415" s="10"/>
      <c r="B415" s="9"/>
      <c r="D415" s="6" t="str">
        <f t="shared" si="21"/>
        <v/>
      </c>
      <c r="E415" s="6" t="str">
        <f t="shared" si="22"/>
        <v/>
      </c>
      <c r="F415" s="5" t="str">
        <f t="shared" si="23"/>
        <v/>
      </c>
    </row>
    <row r="416" spans="1:6" x14ac:dyDescent="0.35">
      <c r="A416" s="8"/>
      <c r="B416" s="7"/>
      <c r="D416" s="6" t="str">
        <f t="shared" si="21"/>
        <v/>
      </c>
      <c r="E416" s="6" t="str">
        <f t="shared" si="22"/>
        <v/>
      </c>
      <c r="F416" s="5" t="str">
        <f t="shared" si="23"/>
        <v/>
      </c>
    </row>
    <row r="417" spans="1:6" x14ac:dyDescent="0.35">
      <c r="A417" s="10"/>
      <c r="B417" s="9"/>
      <c r="D417" s="6" t="str">
        <f t="shared" si="21"/>
        <v/>
      </c>
      <c r="E417" s="6" t="str">
        <f t="shared" si="22"/>
        <v/>
      </c>
      <c r="F417" s="5" t="str">
        <f t="shared" si="23"/>
        <v/>
      </c>
    </row>
    <row r="418" spans="1:6" x14ac:dyDescent="0.35">
      <c r="A418" s="8"/>
      <c r="B418" s="7"/>
      <c r="D418" s="6" t="str">
        <f t="shared" si="21"/>
        <v/>
      </c>
      <c r="E418" s="6" t="str">
        <f t="shared" si="22"/>
        <v/>
      </c>
      <c r="F418" s="5" t="str">
        <f t="shared" si="23"/>
        <v/>
      </c>
    </row>
    <row r="419" spans="1:6" x14ac:dyDescent="0.35">
      <c r="A419" s="10"/>
      <c r="B419" s="9"/>
      <c r="D419" s="6" t="str">
        <f t="shared" si="21"/>
        <v/>
      </c>
      <c r="E419" s="6" t="str">
        <f t="shared" si="22"/>
        <v/>
      </c>
      <c r="F419" s="5" t="str">
        <f t="shared" si="23"/>
        <v/>
      </c>
    </row>
    <row r="420" spans="1:6" x14ac:dyDescent="0.35">
      <c r="A420" s="8"/>
      <c r="B420" s="7"/>
      <c r="D420" s="6" t="str">
        <f t="shared" si="21"/>
        <v/>
      </c>
      <c r="E420" s="6" t="str">
        <f t="shared" si="22"/>
        <v/>
      </c>
      <c r="F420" s="5" t="str">
        <f t="shared" si="23"/>
        <v/>
      </c>
    </row>
    <row r="421" spans="1:6" x14ac:dyDescent="0.35">
      <c r="A421" s="10"/>
      <c r="B421" s="9"/>
      <c r="D421" s="6" t="str">
        <f t="shared" si="21"/>
        <v/>
      </c>
      <c r="E421" s="6" t="str">
        <f t="shared" si="22"/>
        <v/>
      </c>
      <c r="F421" s="5" t="str">
        <f t="shared" si="23"/>
        <v/>
      </c>
    </row>
    <row r="422" spans="1:6" x14ac:dyDescent="0.35">
      <c r="A422" s="8"/>
      <c r="B422" s="7"/>
      <c r="D422" s="6" t="str">
        <f t="shared" si="21"/>
        <v/>
      </c>
      <c r="E422" s="6" t="str">
        <f t="shared" si="22"/>
        <v/>
      </c>
      <c r="F422" s="5" t="str">
        <f t="shared" si="23"/>
        <v/>
      </c>
    </row>
    <row r="423" spans="1:6" x14ac:dyDescent="0.35">
      <c r="A423" s="10"/>
      <c r="B423" s="9"/>
      <c r="D423" s="6" t="str">
        <f t="shared" si="21"/>
        <v/>
      </c>
      <c r="E423" s="6" t="str">
        <f t="shared" si="22"/>
        <v/>
      </c>
      <c r="F423" s="5" t="str">
        <f t="shared" si="23"/>
        <v/>
      </c>
    </row>
    <row r="424" spans="1:6" x14ac:dyDescent="0.35">
      <c r="A424" s="8"/>
      <c r="B424" s="7"/>
      <c r="D424" s="6" t="str">
        <f t="shared" si="21"/>
        <v/>
      </c>
      <c r="E424" s="6" t="str">
        <f t="shared" si="22"/>
        <v/>
      </c>
      <c r="F424" s="5" t="str">
        <f t="shared" si="23"/>
        <v/>
      </c>
    </row>
    <row r="425" spans="1:6" x14ac:dyDescent="0.35">
      <c r="A425" s="10"/>
      <c r="B425" s="9"/>
      <c r="D425" s="6" t="str">
        <f t="shared" si="21"/>
        <v/>
      </c>
      <c r="E425" s="6" t="str">
        <f t="shared" si="22"/>
        <v/>
      </c>
      <c r="F425" s="5" t="str">
        <f t="shared" si="23"/>
        <v/>
      </c>
    </row>
    <row r="426" spans="1:6" x14ac:dyDescent="0.35">
      <c r="A426" s="8"/>
      <c r="B426" s="7"/>
      <c r="D426" s="6" t="str">
        <f t="shared" si="21"/>
        <v/>
      </c>
      <c r="E426" s="6" t="str">
        <f t="shared" si="22"/>
        <v/>
      </c>
      <c r="F426" s="5" t="str">
        <f t="shared" si="23"/>
        <v/>
      </c>
    </row>
    <row r="427" spans="1:6" x14ac:dyDescent="0.35">
      <c r="A427" s="10"/>
      <c r="B427" s="9"/>
      <c r="D427" s="6" t="str">
        <f t="shared" si="21"/>
        <v/>
      </c>
      <c r="E427" s="6" t="str">
        <f t="shared" si="22"/>
        <v/>
      </c>
      <c r="F427" s="5" t="str">
        <f t="shared" si="23"/>
        <v/>
      </c>
    </row>
    <row r="428" spans="1:6" x14ac:dyDescent="0.35">
      <c r="A428" s="8"/>
      <c r="B428" s="7"/>
      <c r="D428" s="6" t="str">
        <f t="shared" si="21"/>
        <v/>
      </c>
      <c r="E428" s="6" t="str">
        <f t="shared" si="22"/>
        <v/>
      </c>
      <c r="F428" s="5" t="str">
        <f t="shared" si="23"/>
        <v/>
      </c>
    </row>
    <row r="429" spans="1:6" x14ac:dyDescent="0.35">
      <c r="A429" s="10"/>
      <c r="B429" s="9"/>
      <c r="D429" s="6" t="str">
        <f t="shared" si="21"/>
        <v/>
      </c>
      <c r="E429" s="6" t="str">
        <f t="shared" si="22"/>
        <v/>
      </c>
      <c r="F429" s="5" t="str">
        <f t="shared" si="23"/>
        <v/>
      </c>
    </row>
    <row r="430" spans="1:6" x14ac:dyDescent="0.35">
      <c r="A430" s="8"/>
      <c r="B430" s="7"/>
      <c r="D430" s="6" t="str">
        <f t="shared" si="21"/>
        <v/>
      </c>
      <c r="E430" s="6" t="str">
        <f t="shared" si="22"/>
        <v/>
      </c>
      <c r="F430" s="5" t="str">
        <f t="shared" si="23"/>
        <v/>
      </c>
    </row>
    <row r="431" spans="1:6" x14ac:dyDescent="0.35">
      <c r="A431" s="10"/>
      <c r="B431" s="9"/>
      <c r="D431" s="6" t="str">
        <f t="shared" si="21"/>
        <v/>
      </c>
      <c r="E431" s="6" t="str">
        <f t="shared" si="22"/>
        <v/>
      </c>
      <c r="F431" s="5" t="str">
        <f t="shared" si="23"/>
        <v/>
      </c>
    </row>
    <row r="432" spans="1:6" x14ac:dyDescent="0.35">
      <c r="A432" s="8"/>
      <c r="B432" s="7"/>
      <c r="D432" s="6" t="str">
        <f t="shared" si="21"/>
        <v/>
      </c>
      <c r="E432" s="6" t="str">
        <f t="shared" si="22"/>
        <v/>
      </c>
      <c r="F432" s="5" t="str">
        <f t="shared" si="23"/>
        <v/>
      </c>
    </row>
    <row r="433" spans="1:6" x14ac:dyDescent="0.35">
      <c r="A433" s="10"/>
      <c r="B433" s="9"/>
      <c r="D433" s="6" t="str">
        <f t="shared" si="21"/>
        <v/>
      </c>
      <c r="E433" s="6" t="str">
        <f t="shared" si="22"/>
        <v/>
      </c>
      <c r="F433" s="5" t="str">
        <f t="shared" si="23"/>
        <v/>
      </c>
    </row>
    <row r="434" spans="1:6" x14ac:dyDescent="0.35">
      <c r="A434" s="8"/>
      <c r="B434" s="7"/>
      <c r="D434" s="6" t="str">
        <f t="shared" si="21"/>
        <v/>
      </c>
      <c r="E434" s="6" t="str">
        <f t="shared" si="22"/>
        <v/>
      </c>
      <c r="F434" s="5" t="str">
        <f t="shared" si="23"/>
        <v/>
      </c>
    </row>
    <row r="435" spans="1:6" x14ac:dyDescent="0.35">
      <c r="A435" s="10"/>
      <c r="B435" s="9"/>
      <c r="D435" s="6" t="str">
        <f t="shared" si="21"/>
        <v/>
      </c>
      <c r="E435" s="6" t="str">
        <f t="shared" si="22"/>
        <v/>
      </c>
      <c r="F435" s="5" t="str">
        <f t="shared" si="23"/>
        <v/>
      </c>
    </row>
    <row r="436" spans="1:6" x14ac:dyDescent="0.35">
      <c r="A436" s="8"/>
      <c r="B436" s="7"/>
      <c r="D436" s="6" t="str">
        <f t="shared" si="21"/>
        <v/>
      </c>
      <c r="E436" s="6" t="str">
        <f t="shared" si="22"/>
        <v/>
      </c>
      <c r="F436" s="5" t="str">
        <f t="shared" si="23"/>
        <v/>
      </c>
    </row>
    <row r="437" spans="1:6" x14ac:dyDescent="0.35">
      <c r="A437" s="10"/>
      <c r="B437" s="9"/>
      <c r="D437" s="6" t="str">
        <f t="shared" si="21"/>
        <v/>
      </c>
      <c r="E437" s="6" t="str">
        <f t="shared" si="22"/>
        <v/>
      </c>
      <c r="F437" s="5" t="str">
        <f t="shared" si="23"/>
        <v/>
      </c>
    </row>
    <row r="438" spans="1:6" x14ac:dyDescent="0.35">
      <c r="A438" s="8"/>
      <c r="B438" s="7"/>
      <c r="D438" s="6" t="str">
        <f t="shared" si="21"/>
        <v/>
      </c>
      <c r="E438" s="6" t="str">
        <f t="shared" si="22"/>
        <v/>
      </c>
      <c r="F438" s="5" t="str">
        <f t="shared" si="23"/>
        <v/>
      </c>
    </row>
    <row r="439" spans="1:6" x14ac:dyDescent="0.35">
      <c r="A439" s="10"/>
      <c r="B439" s="9"/>
      <c r="D439" s="6" t="str">
        <f t="shared" si="21"/>
        <v/>
      </c>
      <c r="E439" s="6" t="str">
        <f t="shared" si="22"/>
        <v/>
      </c>
      <c r="F439" s="5" t="str">
        <f t="shared" si="23"/>
        <v/>
      </c>
    </row>
    <row r="440" spans="1:6" x14ac:dyDescent="0.35">
      <c r="A440" s="8"/>
      <c r="B440" s="7"/>
      <c r="D440" s="6" t="str">
        <f t="shared" si="21"/>
        <v/>
      </c>
      <c r="E440" s="6" t="str">
        <f t="shared" si="22"/>
        <v/>
      </c>
      <c r="F440" s="5" t="str">
        <f t="shared" si="23"/>
        <v/>
      </c>
    </row>
    <row r="441" spans="1:6" x14ac:dyDescent="0.35">
      <c r="A441" s="10"/>
      <c r="B441" s="9"/>
      <c r="D441" s="6" t="str">
        <f t="shared" si="21"/>
        <v/>
      </c>
      <c r="E441" s="6" t="str">
        <f t="shared" si="22"/>
        <v/>
      </c>
      <c r="F441" s="5" t="str">
        <f t="shared" si="23"/>
        <v/>
      </c>
    </row>
    <row r="442" spans="1:6" x14ac:dyDescent="0.35">
      <c r="A442" s="8"/>
      <c r="B442" s="7"/>
      <c r="D442" s="6" t="str">
        <f t="shared" si="21"/>
        <v/>
      </c>
      <c r="E442" s="6" t="str">
        <f t="shared" si="22"/>
        <v/>
      </c>
      <c r="F442" s="5" t="str">
        <f t="shared" si="23"/>
        <v/>
      </c>
    </row>
    <row r="443" spans="1:6" x14ac:dyDescent="0.35">
      <c r="A443" s="10"/>
      <c r="B443" s="9"/>
      <c r="D443" s="6" t="str">
        <f t="shared" si="21"/>
        <v/>
      </c>
      <c r="E443" s="6" t="str">
        <f t="shared" si="22"/>
        <v/>
      </c>
      <c r="F443" s="5" t="str">
        <f t="shared" si="23"/>
        <v/>
      </c>
    </row>
    <row r="444" spans="1:6" x14ac:dyDescent="0.35">
      <c r="A444" s="8"/>
      <c r="B444" s="7"/>
      <c r="D444" s="6" t="str">
        <f t="shared" si="21"/>
        <v/>
      </c>
      <c r="E444" s="6" t="str">
        <f t="shared" si="22"/>
        <v/>
      </c>
      <c r="F444" s="5" t="str">
        <f t="shared" si="23"/>
        <v/>
      </c>
    </row>
    <row r="445" spans="1:6" x14ac:dyDescent="0.35">
      <c r="A445" s="10"/>
      <c r="B445" s="9"/>
      <c r="D445" s="6" t="str">
        <f t="shared" si="21"/>
        <v/>
      </c>
      <c r="E445" s="6" t="str">
        <f t="shared" si="22"/>
        <v/>
      </c>
      <c r="F445" s="5" t="str">
        <f t="shared" si="23"/>
        <v/>
      </c>
    </row>
    <row r="446" spans="1:6" x14ac:dyDescent="0.35">
      <c r="A446" s="8"/>
      <c r="B446" s="7"/>
      <c r="D446" s="6" t="str">
        <f t="shared" si="21"/>
        <v/>
      </c>
      <c r="E446" s="6" t="str">
        <f t="shared" si="22"/>
        <v/>
      </c>
      <c r="F446" s="5" t="str">
        <f t="shared" si="23"/>
        <v/>
      </c>
    </row>
    <row r="447" spans="1:6" x14ac:dyDescent="0.35">
      <c r="A447" s="10"/>
      <c r="B447" s="9"/>
      <c r="D447" s="6" t="str">
        <f t="shared" ref="D447:D510" si="24">IF(A447 =  "", "",  TEXT(A447, "mm/dd/yyyy"))</f>
        <v/>
      </c>
      <c r="E447" s="6" t="str">
        <f t="shared" ref="E447:E510" si="25">IF(A447="", "", EntityLocal)</f>
        <v/>
      </c>
      <c r="F447" s="5" t="str">
        <f t="shared" ref="F447:F510" si="26">IF(B447="","", B447)</f>
        <v/>
      </c>
    </row>
    <row r="448" spans="1:6" x14ac:dyDescent="0.35">
      <c r="A448" s="8"/>
      <c r="B448" s="7"/>
      <c r="D448" s="6" t="str">
        <f t="shared" si="24"/>
        <v/>
      </c>
      <c r="E448" s="6" t="str">
        <f t="shared" si="25"/>
        <v/>
      </c>
      <c r="F448" s="5" t="str">
        <f t="shared" si="26"/>
        <v/>
      </c>
    </row>
    <row r="449" spans="1:6" x14ac:dyDescent="0.35">
      <c r="A449" s="10"/>
      <c r="B449" s="9"/>
      <c r="D449" s="6" t="str">
        <f t="shared" si="24"/>
        <v/>
      </c>
      <c r="E449" s="6" t="str">
        <f t="shared" si="25"/>
        <v/>
      </c>
      <c r="F449" s="5" t="str">
        <f t="shared" si="26"/>
        <v/>
      </c>
    </row>
    <row r="450" spans="1:6" x14ac:dyDescent="0.35">
      <c r="A450" s="8"/>
      <c r="B450" s="7"/>
      <c r="D450" s="6" t="str">
        <f t="shared" si="24"/>
        <v/>
      </c>
      <c r="E450" s="6" t="str">
        <f t="shared" si="25"/>
        <v/>
      </c>
      <c r="F450" s="5" t="str">
        <f t="shared" si="26"/>
        <v/>
      </c>
    </row>
    <row r="451" spans="1:6" x14ac:dyDescent="0.35">
      <c r="A451" s="10"/>
      <c r="B451" s="9"/>
      <c r="D451" s="6" t="str">
        <f t="shared" si="24"/>
        <v/>
      </c>
      <c r="E451" s="6" t="str">
        <f t="shared" si="25"/>
        <v/>
      </c>
      <c r="F451" s="5" t="str">
        <f t="shared" si="26"/>
        <v/>
      </c>
    </row>
    <row r="452" spans="1:6" x14ac:dyDescent="0.35">
      <c r="A452" s="8"/>
      <c r="B452" s="7"/>
      <c r="D452" s="6" t="str">
        <f t="shared" si="24"/>
        <v/>
      </c>
      <c r="E452" s="6" t="str">
        <f t="shared" si="25"/>
        <v/>
      </c>
      <c r="F452" s="5" t="str">
        <f t="shared" si="26"/>
        <v/>
      </c>
    </row>
    <row r="453" spans="1:6" x14ac:dyDescent="0.35">
      <c r="A453" s="10"/>
      <c r="B453" s="9"/>
      <c r="D453" s="6" t="str">
        <f t="shared" si="24"/>
        <v/>
      </c>
      <c r="E453" s="6" t="str">
        <f t="shared" si="25"/>
        <v/>
      </c>
      <c r="F453" s="5" t="str">
        <f t="shared" si="26"/>
        <v/>
      </c>
    </row>
    <row r="454" spans="1:6" x14ac:dyDescent="0.35">
      <c r="A454" s="8"/>
      <c r="B454" s="7"/>
      <c r="D454" s="6" t="str">
        <f t="shared" si="24"/>
        <v/>
      </c>
      <c r="E454" s="6" t="str">
        <f t="shared" si="25"/>
        <v/>
      </c>
      <c r="F454" s="5" t="str">
        <f t="shared" si="26"/>
        <v/>
      </c>
    </row>
    <row r="455" spans="1:6" x14ac:dyDescent="0.35">
      <c r="A455" s="10"/>
      <c r="B455" s="9"/>
      <c r="D455" s="6" t="str">
        <f t="shared" si="24"/>
        <v/>
      </c>
      <c r="E455" s="6" t="str">
        <f t="shared" si="25"/>
        <v/>
      </c>
      <c r="F455" s="5" t="str">
        <f t="shared" si="26"/>
        <v/>
      </c>
    </row>
    <row r="456" spans="1:6" x14ac:dyDescent="0.35">
      <c r="A456" s="8"/>
      <c r="B456" s="7"/>
      <c r="D456" s="6" t="str">
        <f t="shared" si="24"/>
        <v/>
      </c>
      <c r="E456" s="6" t="str">
        <f t="shared" si="25"/>
        <v/>
      </c>
      <c r="F456" s="5" t="str">
        <f t="shared" si="26"/>
        <v/>
      </c>
    </row>
    <row r="457" spans="1:6" x14ac:dyDescent="0.35">
      <c r="A457" s="10"/>
      <c r="B457" s="9"/>
      <c r="D457" s="6" t="str">
        <f t="shared" si="24"/>
        <v/>
      </c>
      <c r="E457" s="6" t="str">
        <f t="shared" si="25"/>
        <v/>
      </c>
      <c r="F457" s="5" t="str">
        <f t="shared" si="26"/>
        <v/>
      </c>
    </row>
    <row r="458" spans="1:6" x14ac:dyDescent="0.35">
      <c r="A458" s="8"/>
      <c r="B458" s="7"/>
      <c r="D458" s="6" t="str">
        <f t="shared" si="24"/>
        <v/>
      </c>
      <c r="E458" s="6" t="str">
        <f t="shared" si="25"/>
        <v/>
      </c>
      <c r="F458" s="5" t="str">
        <f t="shared" si="26"/>
        <v/>
      </c>
    </row>
    <row r="459" spans="1:6" x14ac:dyDescent="0.35">
      <c r="A459" s="10"/>
      <c r="B459" s="9"/>
      <c r="D459" s="6" t="str">
        <f t="shared" si="24"/>
        <v/>
      </c>
      <c r="E459" s="6" t="str">
        <f t="shared" si="25"/>
        <v/>
      </c>
      <c r="F459" s="5" t="str">
        <f t="shared" si="26"/>
        <v/>
      </c>
    </row>
    <row r="460" spans="1:6" x14ac:dyDescent="0.35">
      <c r="A460" s="8"/>
      <c r="B460" s="7"/>
      <c r="D460" s="6" t="str">
        <f t="shared" si="24"/>
        <v/>
      </c>
      <c r="E460" s="6" t="str">
        <f t="shared" si="25"/>
        <v/>
      </c>
      <c r="F460" s="5" t="str">
        <f t="shared" si="26"/>
        <v/>
      </c>
    </row>
    <row r="461" spans="1:6" x14ac:dyDescent="0.35">
      <c r="A461" s="10"/>
      <c r="B461" s="9"/>
      <c r="D461" s="6" t="str">
        <f t="shared" si="24"/>
        <v/>
      </c>
      <c r="E461" s="6" t="str">
        <f t="shared" si="25"/>
        <v/>
      </c>
      <c r="F461" s="5" t="str">
        <f t="shared" si="26"/>
        <v/>
      </c>
    </row>
    <row r="462" spans="1:6" x14ac:dyDescent="0.35">
      <c r="A462" s="8"/>
      <c r="B462" s="7"/>
      <c r="D462" s="6" t="str">
        <f t="shared" si="24"/>
        <v/>
      </c>
      <c r="E462" s="6" t="str">
        <f t="shared" si="25"/>
        <v/>
      </c>
      <c r="F462" s="5" t="str">
        <f t="shared" si="26"/>
        <v/>
      </c>
    </row>
    <row r="463" spans="1:6" x14ac:dyDescent="0.35">
      <c r="A463" s="10"/>
      <c r="B463" s="9"/>
      <c r="D463" s="6" t="str">
        <f t="shared" si="24"/>
        <v/>
      </c>
      <c r="E463" s="6" t="str">
        <f t="shared" si="25"/>
        <v/>
      </c>
      <c r="F463" s="5" t="str">
        <f t="shared" si="26"/>
        <v/>
      </c>
    </row>
    <row r="464" spans="1:6" x14ac:dyDescent="0.35">
      <c r="A464" s="8"/>
      <c r="B464" s="7"/>
      <c r="D464" s="6" t="str">
        <f t="shared" si="24"/>
        <v/>
      </c>
      <c r="E464" s="6" t="str">
        <f t="shared" si="25"/>
        <v/>
      </c>
      <c r="F464" s="5" t="str">
        <f t="shared" si="26"/>
        <v/>
      </c>
    </row>
    <row r="465" spans="1:6" x14ac:dyDescent="0.35">
      <c r="A465" s="10"/>
      <c r="B465" s="9"/>
      <c r="D465" s="6" t="str">
        <f t="shared" si="24"/>
        <v/>
      </c>
      <c r="E465" s="6" t="str">
        <f t="shared" si="25"/>
        <v/>
      </c>
      <c r="F465" s="5" t="str">
        <f t="shared" si="26"/>
        <v/>
      </c>
    </row>
    <row r="466" spans="1:6" x14ac:dyDescent="0.35">
      <c r="A466" s="8"/>
      <c r="B466" s="7"/>
      <c r="D466" s="6" t="str">
        <f t="shared" si="24"/>
        <v/>
      </c>
      <c r="E466" s="6" t="str">
        <f t="shared" si="25"/>
        <v/>
      </c>
      <c r="F466" s="5" t="str">
        <f t="shared" si="26"/>
        <v/>
      </c>
    </row>
    <row r="467" spans="1:6" x14ac:dyDescent="0.35">
      <c r="A467" s="10"/>
      <c r="B467" s="9"/>
      <c r="D467" s="6" t="str">
        <f t="shared" si="24"/>
        <v/>
      </c>
      <c r="E467" s="6" t="str">
        <f t="shared" si="25"/>
        <v/>
      </c>
      <c r="F467" s="5" t="str">
        <f t="shared" si="26"/>
        <v/>
      </c>
    </row>
    <row r="468" spans="1:6" x14ac:dyDescent="0.35">
      <c r="A468" s="8"/>
      <c r="B468" s="7"/>
      <c r="D468" s="6" t="str">
        <f t="shared" si="24"/>
        <v/>
      </c>
      <c r="E468" s="6" t="str">
        <f t="shared" si="25"/>
        <v/>
      </c>
      <c r="F468" s="5" t="str">
        <f t="shared" si="26"/>
        <v/>
      </c>
    </row>
    <row r="469" spans="1:6" x14ac:dyDescent="0.35">
      <c r="A469" s="10"/>
      <c r="B469" s="9"/>
      <c r="D469" s="6" t="str">
        <f t="shared" si="24"/>
        <v/>
      </c>
      <c r="E469" s="6" t="str">
        <f t="shared" si="25"/>
        <v/>
      </c>
      <c r="F469" s="5" t="str">
        <f t="shared" si="26"/>
        <v/>
      </c>
    </row>
    <row r="470" spans="1:6" x14ac:dyDescent="0.35">
      <c r="A470" s="8"/>
      <c r="B470" s="7"/>
      <c r="D470" s="6" t="str">
        <f t="shared" si="24"/>
        <v/>
      </c>
      <c r="E470" s="6" t="str">
        <f t="shared" si="25"/>
        <v/>
      </c>
      <c r="F470" s="5" t="str">
        <f t="shared" si="26"/>
        <v/>
      </c>
    </row>
    <row r="471" spans="1:6" x14ac:dyDescent="0.35">
      <c r="A471" s="10"/>
      <c r="B471" s="9"/>
      <c r="D471" s="6" t="str">
        <f t="shared" si="24"/>
        <v/>
      </c>
      <c r="E471" s="6" t="str">
        <f t="shared" si="25"/>
        <v/>
      </c>
      <c r="F471" s="5" t="str">
        <f t="shared" si="26"/>
        <v/>
      </c>
    </row>
    <row r="472" spans="1:6" x14ac:dyDescent="0.35">
      <c r="A472" s="8"/>
      <c r="B472" s="7"/>
      <c r="D472" s="6" t="str">
        <f t="shared" si="24"/>
        <v/>
      </c>
      <c r="E472" s="6" t="str">
        <f t="shared" si="25"/>
        <v/>
      </c>
      <c r="F472" s="5" t="str">
        <f t="shared" si="26"/>
        <v/>
      </c>
    </row>
    <row r="473" spans="1:6" x14ac:dyDescent="0.35">
      <c r="A473" s="10"/>
      <c r="B473" s="9"/>
      <c r="D473" s="6" t="str">
        <f t="shared" si="24"/>
        <v/>
      </c>
      <c r="E473" s="6" t="str">
        <f t="shared" si="25"/>
        <v/>
      </c>
      <c r="F473" s="5" t="str">
        <f t="shared" si="26"/>
        <v/>
      </c>
    </row>
    <row r="474" spans="1:6" x14ac:dyDescent="0.35">
      <c r="A474" s="8"/>
      <c r="B474" s="7"/>
      <c r="D474" s="6" t="str">
        <f t="shared" si="24"/>
        <v/>
      </c>
      <c r="E474" s="6" t="str">
        <f t="shared" si="25"/>
        <v/>
      </c>
      <c r="F474" s="5" t="str">
        <f t="shared" si="26"/>
        <v/>
      </c>
    </row>
    <row r="475" spans="1:6" x14ac:dyDescent="0.35">
      <c r="A475" s="10"/>
      <c r="B475" s="9"/>
      <c r="D475" s="6" t="str">
        <f t="shared" si="24"/>
        <v/>
      </c>
      <c r="E475" s="6" t="str">
        <f t="shared" si="25"/>
        <v/>
      </c>
      <c r="F475" s="5" t="str">
        <f t="shared" si="26"/>
        <v/>
      </c>
    </row>
    <row r="476" spans="1:6" x14ac:dyDescent="0.35">
      <c r="A476" s="8"/>
      <c r="B476" s="7"/>
      <c r="D476" s="6" t="str">
        <f t="shared" si="24"/>
        <v/>
      </c>
      <c r="E476" s="6" t="str">
        <f t="shared" si="25"/>
        <v/>
      </c>
      <c r="F476" s="5" t="str">
        <f t="shared" si="26"/>
        <v/>
      </c>
    </row>
    <row r="477" spans="1:6" x14ac:dyDescent="0.35">
      <c r="A477" s="10"/>
      <c r="B477" s="9"/>
      <c r="D477" s="6" t="str">
        <f t="shared" si="24"/>
        <v/>
      </c>
      <c r="E477" s="6" t="str">
        <f t="shared" si="25"/>
        <v/>
      </c>
      <c r="F477" s="5" t="str">
        <f t="shared" si="26"/>
        <v/>
      </c>
    </row>
    <row r="478" spans="1:6" x14ac:dyDescent="0.35">
      <c r="A478" s="8"/>
      <c r="B478" s="7"/>
      <c r="D478" s="6" t="str">
        <f t="shared" si="24"/>
        <v/>
      </c>
      <c r="E478" s="6" t="str">
        <f t="shared" si="25"/>
        <v/>
      </c>
      <c r="F478" s="5" t="str">
        <f t="shared" si="26"/>
        <v/>
      </c>
    </row>
    <row r="479" spans="1:6" x14ac:dyDescent="0.35">
      <c r="A479" s="10"/>
      <c r="B479" s="9"/>
      <c r="D479" s="6" t="str">
        <f t="shared" si="24"/>
        <v/>
      </c>
      <c r="E479" s="6" t="str">
        <f t="shared" si="25"/>
        <v/>
      </c>
      <c r="F479" s="5" t="str">
        <f t="shared" si="26"/>
        <v/>
      </c>
    </row>
    <row r="480" spans="1:6" x14ac:dyDescent="0.35">
      <c r="A480" s="8"/>
      <c r="B480" s="7"/>
      <c r="D480" s="6" t="str">
        <f t="shared" si="24"/>
        <v/>
      </c>
      <c r="E480" s="6" t="str">
        <f t="shared" si="25"/>
        <v/>
      </c>
      <c r="F480" s="5" t="str">
        <f t="shared" si="26"/>
        <v/>
      </c>
    </row>
    <row r="481" spans="1:6" x14ac:dyDescent="0.35">
      <c r="A481" s="10"/>
      <c r="B481" s="9"/>
      <c r="D481" s="6" t="str">
        <f t="shared" si="24"/>
        <v/>
      </c>
      <c r="E481" s="6" t="str">
        <f t="shared" si="25"/>
        <v/>
      </c>
      <c r="F481" s="5" t="str">
        <f t="shared" si="26"/>
        <v/>
      </c>
    </row>
    <row r="482" spans="1:6" x14ac:dyDescent="0.35">
      <c r="A482" s="8"/>
      <c r="B482" s="7"/>
      <c r="D482" s="6" t="str">
        <f t="shared" si="24"/>
        <v/>
      </c>
      <c r="E482" s="6" t="str">
        <f t="shared" si="25"/>
        <v/>
      </c>
      <c r="F482" s="5" t="str">
        <f t="shared" si="26"/>
        <v/>
      </c>
    </row>
    <row r="483" spans="1:6" x14ac:dyDescent="0.35">
      <c r="A483" s="10"/>
      <c r="B483" s="9"/>
      <c r="D483" s="6" t="str">
        <f t="shared" si="24"/>
        <v/>
      </c>
      <c r="E483" s="6" t="str">
        <f t="shared" si="25"/>
        <v/>
      </c>
      <c r="F483" s="5" t="str">
        <f t="shared" si="26"/>
        <v/>
      </c>
    </row>
    <row r="484" spans="1:6" x14ac:dyDescent="0.35">
      <c r="A484" s="8"/>
      <c r="B484" s="7"/>
      <c r="D484" s="6" t="str">
        <f t="shared" si="24"/>
        <v/>
      </c>
      <c r="E484" s="6" t="str">
        <f t="shared" si="25"/>
        <v/>
      </c>
      <c r="F484" s="5" t="str">
        <f t="shared" si="26"/>
        <v/>
      </c>
    </row>
    <row r="485" spans="1:6" x14ac:dyDescent="0.35">
      <c r="A485" s="10"/>
      <c r="B485" s="9"/>
      <c r="D485" s="6" t="str">
        <f t="shared" si="24"/>
        <v/>
      </c>
      <c r="E485" s="6" t="str">
        <f t="shared" si="25"/>
        <v/>
      </c>
      <c r="F485" s="5" t="str">
        <f t="shared" si="26"/>
        <v/>
      </c>
    </row>
    <row r="486" spans="1:6" x14ac:dyDescent="0.35">
      <c r="A486" s="8"/>
      <c r="B486" s="7"/>
      <c r="D486" s="6" t="str">
        <f t="shared" si="24"/>
        <v/>
      </c>
      <c r="E486" s="6" t="str">
        <f t="shared" si="25"/>
        <v/>
      </c>
      <c r="F486" s="5" t="str">
        <f t="shared" si="26"/>
        <v/>
      </c>
    </row>
    <row r="487" spans="1:6" x14ac:dyDescent="0.35">
      <c r="A487" s="10"/>
      <c r="B487" s="9"/>
      <c r="D487" s="6" t="str">
        <f t="shared" si="24"/>
        <v/>
      </c>
      <c r="E487" s="6" t="str">
        <f t="shared" si="25"/>
        <v/>
      </c>
      <c r="F487" s="5" t="str">
        <f t="shared" si="26"/>
        <v/>
      </c>
    </row>
    <row r="488" spans="1:6" x14ac:dyDescent="0.35">
      <c r="A488" s="8"/>
      <c r="B488" s="7"/>
      <c r="D488" s="6" t="str">
        <f t="shared" si="24"/>
        <v/>
      </c>
      <c r="E488" s="6" t="str">
        <f t="shared" si="25"/>
        <v/>
      </c>
      <c r="F488" s="5" t="str">
        <f t="shared" si="26"/>
        <v/>
      </c>
    </row>
    <row r="489" spans="1:6" x14ac:dyDescent="0.35">
      <c r="A489" s="10"/>
      <c r="B489" s="9"/>
      <c r="D489" s="6" t="str">
        <f t="shared" si="24"/>
        <v/>
      </c>
      <c r="E489" s="6" t="str">
        <f t="shared" si="25"/>
        <v/>
      </c>
      <c r="F489" s="5" t="str">
        <f t="shared" si="26"/>
        <v/>
      </c>
    </row>
    <row r="490" spans="1:6" x14ac:dyDescent="0.35">
      <c r="A490" s="8"/>
      <c r="B490" s="7"/>
      <c r="D490" s="6" t="str">
        <f t="shared" si="24"/>
        <v/>
      </c>
      <c r="E490" s="6" t="str">
        <f t="shared" si="25"/>
        <v/>
      </c>
      <c r="F490" s="5" t="str">
        <f t="shared" si="26"/>
        <v/>
      </c>
    </row>
    <row r="491" spans="1:6" x14ac:dyDescent="0.35">
      <c r="A491" s="10"/>
      <c r="B491" s="9"/>
      <c r="D491" s="6" t="str">
        <f t="shared" si="24"/>
        <v/>
      </c>
      <c r="E491" s="6" t="str">
        <f t="shared" si="25"/>
        <v/>
      </c>
      <c r="F491" s="5" t="str">
        <f t="shared" si="26"/>
        <v/>
      </c>
    </row>
    <row r="492" spans="1:6" x14ac:dyDescent="0.35">
      <c r="A492" s="8"/>
      <c r="B492" s="7"/>
      <c r="D492" s="6" t="str">
        <f t="shared" si="24"/>
        <v/>
      </c>
      <c r="E492" s="6" t="str">
        <f t="shared" si="25"/>
        <v/>
      </c>
      <c r="F492" s="5" t="str">
        <f t="shared" si="26"/>
        <v/>
      </c>
    </row>
    <row r="493" spans="1:6" x14ac:dyDescent="0.35">
      <c r="A493" s="10"/>
      <c r="B493" s="9"/>
      <c r="D493" s="6" t="str">
        <f t="shared" si="24"/>
        <v/>
      </c>
      <c r="E493" s="6" t="str">
        <f t="shared" si="25"/>
        <v/>
      </c>
      <c r="F493" s="5" t="str">
        <f t="shared" si="26"/>
        <v/>
      </c>
    </row>
    <row r="494" spans="1:6" x14ac:dyDescent="0.35">
      <c r="A494" s="8"/>
      <c r="B494" s="7"/>
      <c r="D494" s="6" t="str">
        <f t="shared" si="24"/>
        <v/>
      </c>
      <c r="E494" s="6" t="str">
        <f t="shared" si="25"/>
        <v/>
      </c>
      <c r="F494" s="5" t="str">
        <f t="shared" si="26"/>
        <v/>
      </c>
    </row>
    <row r="495" spans="1:6" x14ac:dyDescent="0.35">
      <c r="A495" s="10"/>
      <c r="B495" s="9"/>
      <c r="D495" s="6" t="str">
        <f t="shared" si="24"/>
        <v/>
      </c>
      <c r="E495" s="6" t="str">
        <f t="shared" si="25"/>
        <v/>
      </c>
      <c r="F495" s="5" t="str">
        <f t="shared" si="26"/>
        <v/>
      </c>
    </row>
    <row r="496" spans="1:6" x14ac:dyDescent="0.35">
      <c r="A496" s="8"/>
      <c r="B496" s="7"/>
      <c r="D496" s="6" t="str">
        <f t="shared" si="24"/>
        <v/>
      </c>
      <c r="E496" s="6" t="str">
        <f t="shared" si="25"/>
        <v/>
      </c>
      <c r="F496" s="5" t="str">
        <f t="shared" si="26"/>
        <v/>
      </c>
    </row>
    <row r="497" spans="1:6" x14ac:dyDescent="0.35">
      <c r="A497" s="10"/>
      <c r="B497" s="9"/>
      <c r="D497" s="6" t="str">
        <f t="shared" si="24"/>
        <v/>
      </c>
      <c r="E497" s="6" t="str">
        <f t="shared" si="25"/>
        <v/>
      </c>
      <c r="F497" s="5" t="str">
        <f t="shared" si="26"/>
        <v/>
      </c>
    </row>
    <row r="498" spans="1:6" x14ac:dyDescent="0.35">
      <c r="A498" s="8"/>
      <c r="B498" s="7"/>
      <c r="D498" s="6" t="str">
        <f t="shared" si="24"/>
        <v/>
      </c>
      <c r="E498" s="6" t="str">
        <f t="shared" si="25"/>
        <v/>
      </c>
      <c r="F498" s="5" t="str">
        <f t="shared" si="26"/>
        <v/>
      </c>
    </row>
    <row r="499" spans="1:6" x14ac:dyDescent="0.35">
      <c r="A499" s="10"/>
      <c r="B499" s="9"/>
      <c r="D499" s="6" t="str">
        <f t="shared" si="24"/>
        <v/>
      </c>
      <c r="E499" s="6" t="str">
        <f t="shared" si="25"/>
        <v/>
      </c>
      <c r="F499" s="5" t="str">
        <f t="shared" si="26"/>
        <v/>
      </c>
    </row>
    <row r="500" spans="1:6" x14ac:dyDescent="0.35">
      <c r="A500" s="8"/>
      <c r="B500" s="7"/>
      <c r="D500" s="6" t="str">
        <f t="shared" si="24"/>
        <v/>
      </c>
      <c r="E500" s="6" t="str">
        <f t="shared" si="25"/>
        <v/>
      </c>
      <c r="F500" s="5" t="str">
        <f t="shared" si="26"/>
        <v/>
      </c>
    </row>
    <row r="501" spans="1:6" x14ac:dyDescent="0.35">
      <c r="A501" s="10"/>
      <c r="B501" s="9"/>
      <c r="D501" s="6" t="str">
        <f t="shared" si="24"/>
        <v/>
      </c>
      <c r="E501" s="6" t="str">
        <f t="shared" si="25"/>
        <v/>
      </c>
      <c r="F501" s="5" t="str">
        <f t="shared" si="26"/>
        <v/>
      </c>
    </row>
    <row r="502" spans="1:6" x14ac:dyDescent="0.35">
      <c r="A502" s="8"/>
      <c r="B502" s="7"/>
      <c r="D502" s="6" t="str">
        <f t="shared" si="24"/>
        <v/>
      </c>
      <c r="E502" s="6" t="str">
        <f t="shared" si="25"/>
        <v/>
      </c>
      <c r="F502" s="5" t="str">
        <f t="shared" si="26"/>
        <v/>
      </c>
    </row>
    <row r="503" spans="1:6" x14ac:dyDescent="0.35">
      <c r="A503" s="10"/>
      <c r="B503" s="9"/>
      <c r="D503" s="6" t="str">
        <f t="shared" si="24"/>
        <v/>
      </c>
      <c r="E503" s="6" t="str">
        <f t="shared" si="25"/>
        <v/>
      </c>
      <c r="F503" s="5" t="str">
        <f t="shared" si="26"/>
        <v/>
      </c>
    </row>
    <row r="504" spans="1:6" x14ac:dyDescent="0.35">
      <c r="A504" s="8"/>
      <c r="B504" s="7"/>
      <c r="D504" s="6" t="str">
        <f t="shared" si="24"/>
        <v/>
      </c>
      <c r="E504" s="6" t="str">
        <f t="shared" si="25"/>
        <v/>
      </c>
      <c r="F504" s="5" t="str">
        <f t="shared" si="26"/>
        <v/>
      </c>
    </row>
    <row r="505" spans="1:6" x14ac:dyDescent="0.35">
      <c r="A505" s="10"/>
      <c r="B505" s="9"/>
      <c r="D505" s="6" t="str">
        <f t="shared" si="24"/>
        <v/>
      </c>
      <c r="E505" s="6" t="str">
        <f t="shared" si="25"/>
        <v/>
      </c>
      <c r="F505" s="5" t="str">
        <f t="shared" si="26"/>
        <v/>
      </c>
    </row>
    <row r="506" spans="1:6" x14ac:dyDescent="0.35">
      <c r="A506" s="8"/>
      <c r="B506" s="7"/>
      <c r="D506" s="6" t="str">
        <f t="shared" si="24"/>
        <v/>
      </c>
      <c r="E506" s="6" t="str">
        <f t="shared" si="25"/>
        <v/>
      </c>
      <c r="F506" s="5" t="str">
        <f t="shared" si="26"/>
        <v/>
      </c>
    </row>
    <row r="507" spans="1:6" x14ac:dyDescent="0.35">
      <c r="A507" s="10"/>
      <c r="B507" s="9"/>
      <c r="D507" s="6" t="str">
        <f t="shared" si="24"/>
        <v/>
      </c>
      <c r="E507" s="6" t="str">
        <f t="shared" si="25"/>
        <v/>
      </c>
      <c r="F507" s="5" t="str">
        <f t="shared" si="26"/>
        <v/>
      </c>
    </row>
    <row r="508" spans="1:6" x14ac:dyDescent="0.35">
      <c r="A508" s="8"/>
      <c r="B508" s="7"/>
      <c r="D508" s="6" t="str">
        <f t="shared" si="24"/>
        <v/>
      </c>
      <c r="E508" s="6" t="str">
        <f t="shared" si="25"/>
        <v/>
      </c>
      <c r="F508" s="5" t="str">
        <f t="shared" si="26"/>
        <v/>
      </c>
    </row>
    <row r="509" spans="1:6" x14ac:dyDescent="0.35">
      <c r="A509" s="10"/>
      <c r="B509" s="9"/>
      <c r="D509" s="6" t="str">
        <f t="shared" si="24"/>
        <v/>
      </c>
      <c r="E509" s="6" t="str">
        <f t="shared" si="25"/>
        <v/>
      </c>
      <c r="F509" s="5" t="str">
        <f t="shared" si="26"/>
        <v/>
      </c>
    </row>
    <row r="510" spans="1:6" x14ac:dyDescent="0.35">
      <c r="A510" s="8"/>
      <c r="B510" s="7"/>
      <c r="D510" s="6" t="str">
        <f t="shared" si="24"/>
        <v/>
      </c>
      <c r="E510" s="6" t="str">
        <f t="shared" si="25"/>
        <v/>
      </c>
      <c r="F510" s="5" t="str">
        <f t="shared" si="26"/>
        <v/>
      </c>
    </row>
    <row r="511" spans="1:6" x14ac:dyDescent="0.35">
      <c r="A511" s="10"/>
      <c r="B511" s="9"/>
      <c r="D511" s="6" t="str">
        <f t="shared" ref="D511:D574" si="27">IF(A511 =  "", "",  TEXT(A511, "mm/dd/yyyy"))</f>
        <v/>
      </c>
      <c r="E511" s="6" t="str">
        <f t="shared" ref="E511:E574" si="28">IF(A511="", "", EntityLocal)</f>
        <v/>
      </c>
      <c r="F511" s="5" t="str">
        <f t="shared" ref="F511:F574" si="29">IF(B511="","", B511)</f>
        <v/>
      </c>
    </row>
    <row r="512" spans="1:6" x14ac:dyDescent="0.35">
      <c r="A512" s="8"/>
      <c r="B512" s="7"/>
      <c r="D512" s="6" t="str">
        <f t="shared" si="27"/>
        <v/>
      </c>
      <c r="E512" s="6" t="str">
        <f t="shared" si="28"/>
        <v/>
      </c>
      <c r="F512" s="5" t="str">
        <f t="shared" si="29"/>
        <v/>
      </c>
    </row>
    <row r="513" spans="1:6" x14ac:dyDescent="0.35">
      <c r="A513" s="10"/>
      <c r="B513" s="9"/>
      <c r="D513" s="6" t="str">
        <f t="shared" si="27"/>
        <v/>
      </c>
      <c r="E513" s="6" t="str">
        <f t="shared" si="28"/>
        <v/>
      </c>
      <c r="F513" s="5" t="str">
        <f t="shared" si="29"/>
        <v/>
      </c>
    </row>
    <row r="514" spans="1:6" x14ac:dyDescent="0.35">
      <c r="A514" s="8"/>
      <c r="B514" s="7"/>
      <c r="D514" s="6" t="str">
        <f t="shared" si="27"/>
        <v/>
      </c>
      <c r="E514" s="6" t="str">
        <f t="shared" si="28"/>
        <v/>
      </c>
      <c r="F514" s="5" t="str">
        <f t="shared" si="29"/>
        <v/>
      </c>
    </row>
    <row r="515" spans="1:6" x14ac:dyDescent="0.35">
      <c r="A515" s="10"/>
      <c r="B515" s="9"/>
      <c r="D515" s="6" t="str">
        <f t="shared" si="27"/>
        <v/>
      </c>
      <c r="E515" s="6" t="str">
        <f t="shared" si="28"/>
        <v/>
      </c>
      <c r="F515" s="5" t="str">
        <f t="shared" si="29"/>
        <v/>
      </c>
    </row>
    <row r="516" spans="1:6" x14ac:dyDescent="0.35">
      <c r="A516" s="8"/>
      <c r="B516" s="7"/>
      <c r="D516" s="6" t="str">
        <f t="shared" si="27"/>
        <v/>
      </c>
      <c r="E516" s="6" t="str">
        <f t="shared" si="28"/>
        <v/>
      </c>
      <c r="F516" s="5" t="str">
        <f t="shared" si="29"/>
        <v/>
      </c>
    </row>
    <row r="517" spans="1:6" x14ac:dyDescent="0.35">
      <c r="A517" s="10"/>
      <c r="B517" s="9"/>
      <c r="D517" s="6" t="str">
        <f t="shared" si="27"/>
        <v/>
      </c>
      <c r="E517" s="6" t="str">
        <f t="shared" si="28"/>
        <v/>
      </c>
      <c r="F517" s="5" t="str">
        <f t="shared" si="29"/>
        <v/>
      </c>
    </row>
    <row r="518" spans="1:6" x14ac:dyDescent="0.35">
      <c r="A518" s="8"/>
      <c r="B518" s="7"/>
      <c r="D518" s="6" t="str">
        <f t="shared" si="27"/>
        <v/>
      </c>
      <c r="E518" s="6" t="str">
        <f t="shared" si="28"/>
        <v/>
      </c>
      <c r="F518" s="5" t="str">
        <f t="shared" si="29"/>
        <v/>
      </c>
    </row>
    <row r="519" spans="1:6" x14ac:dyDescent="0.35">
      <c r="A519" s="10"/>
      <c r="B519" s="9"/>
      <c r="D519" s="6" t="str">
        <f t="shared" si="27"/>
        <v/>
      </c>
      <c r="E519" s="6" t="str">
        <f t="shared" si="28"/>
        <v/>
      </c>
      <c r="F519" s="5" t="str">
        <f t="shared" si="29"/>
        <v/>
      </c>
    </row>
    <row r="520" spans="1:6" x14ac:dyDescent="0.35">
      <c r="A520" s="8"/>
      <c r="B520" s="7"/>
      <c r="D520" s="6" t="str">
        <f t="shared" si="27"/>
        <v/>
      </c>
      <c r="E520" s="6" t="str">
        <f t="shared" si="28"/>
        <v/>
      </c>
      <c r="F520" s="5" t="str">
        <f t="shared" si="29"/>
        <v/>
      </c>
    </row>
    <row r="521" spans="1:6" x14ac:dyDescent="0.35">
      <c r="A521" s="10"/>
      <c r="B521" s="9"/>
      <c r="D521" s="6" t="str">
        <f t="shared" si="27"/>
        <v/>
      </c>
      <c r="E521" s="6" t="str">
        <f t="shared" si="28"/>
        <v/>
      </c>
      <c r="F521" s="5" t="str">
        <f t="shared" si="29"/>
        <v/>
      </c>
    </row>
    <row r="522" spans="1:6" x14ac:dyDescent="0.35">
      <c r="A522" s="8"/>
      <c r="B522" s="7"/>
      <c r="D522" s="6" t="str">
        <f t="shared" si="27"/>
        <v/>
      </c>
      <c r="E522" s="6" t="str">
        <f t="shared" si="28"/>
        <v/>
      </c>
      <c r="F522" s="5" t="str">
        <f t="shared" si="29"/>
        <v/>
      </c>
    </row>
    <row r="523" spans="1:6" x14ac:dyDescent="0.35">
      <c r="A523" s="10"/>
      <c r="B523" s="9"/>
      <c r="D523" s="6" t="str">
        <f t="shared" si="27"/>
        <v/>
      </c>
      <c r="E523" s="6" t="str">
        <f t="shared" si="28"/>
        <v/>
      </c>
      <c r="F523" s="5" t="str">
        <f t="shared" si="29"/>
        <v/>
      </c>
    </row>
    <row r="524" spans="1:6" x14ac:dyDescent="0.35">
      <c r="A524" s="8"/>
      <c r="B524" s="7"/>
      <c r="D524" s="6" t="str">
        <f t="shared" si="27"/>
        <v/>
      </c>
      <c r="E524" s="6" t="str">
        <f t="shared" si="28"/>
        <v/>
      </c>
      <c r="F524" s="5" t="str">
        <f t="shared" si="29"/>
        <v/>
      </c>
    </row>
    <row r="525" spans="1:6" x14ac:dyDescent="0.35">
      <c r="A525" s="10"/>
      <c r="B525" s="9"/>
      <c r="D525" s="6" t="str">
        <f t="shared" si="27"/>
        <v/>
      </c>
      <c r="E525" s="6" t="str">
        <f t="shared" si="28"/>
        <v/>
      </c>
      <c r="F525" s="5" t="str">
        <f t="shared" si="29"/>
        <v/>
      </c>
    </row>
    <row r="526" spans="1:6" x14ac:dyDescent="0.35">
      <c r="A526" s="8"/>
      <c r="B526" s="7"/>
      <c r="D526" s="6" t="str">
        <f t="shared" si="27"/>
        <v/>
      </c>
      <c r="E526" s="6" t="str">
        <f t="shared" si="28"/>
        <v/>
      </c>
      <c r="F526" s="5" t="str">
        <f t="shared" si="29"/>
        <v/>
      </c>
    </row>
    <row r="527" spans="1:6" x14ac:dyDescent="0.35">
      <c r="A527" s="10"/>
      <c r="B527" s="9"/>
      <c r="D527" s="6" t="str">
        <f t="shared" si="27"/>
        <v/>
      </c>
      <c r="E527" s="6" t="str">
        <f t="shared" si="28"/>
        <v/>
      </c>
      <c r="F527" s="5" t="str">
        <f t="shared" si="29"/>
        <v/>
      </c>
    </row>
    <row r="528" spans="1:6" x14ac:dyDescent="0.35">
      <c r="A528" s="8"/>
      <c r="B528" s="7"/>
      <c r="D528" s="6" t="str">
        <f t="shared" si="27"/>
        <v/>
      </c>
      <c r="E528" s="6" t="str">
        <f t="shared" si="28"/>
        <v/>
      </c>
      <c r="F528" s="5" t="str">
        <f t="shared" si="29"/>
        <v/>
      </c>
    </row>
    <row r="529" spans="1:6" x14ac:dyDescent="0.35">
      <c r="A529" s="10"/>
      <c r="B529" s="9"/>
      <c r="D529" s="6" t="str">
        <f t="shared" si="27"/>
        <v/>
      </c>
      <c r="E529" s="6" t="str">
        <f t="shared" si="28"/>
        <v/>
      </c>
      <c r="F529" s="5" t="str">
        <f t="shared" si="29"/>
        <v/>
      </c>
    </row>
    <row r="530" spans="1:6" x14ac:dyDescent="0.35">
      <c r="A530" s="8"/>
      <c r="B530" s="7"/>
      <c r="D530" s="6" t="str">
        <f t="shared" si="27"/>
        <v/>
      </c>
      <c r="E530" s="6" t="str">
        <f t="shared" si="28"/>
        <v/>
      </c>
      <c r="F530" s="5" t="str">
        <f t="shared" si="29"/>
        <v/>
      </c>
    </row>
    <row r="531" spans="1:6" x14ac:dyDescent="0.35">
      <c r="A531" s="10"/>
      <c r="B531" s="9"/>
      <c r="D531" s="6" t="str">
        <f t="shared" si="27"/>
        <v/>
      </c>
      <c r="E531" s="6" t="str">
        <f t="shared" si="28"/>
        <v/>
      </c>
      <c r="F531" s="5" t="str">
        <f t="shared" si="29"/>
        <v/>
      </c>
    </row>
    <row r="532" spans="1:6" x14ac:dyDescent="0.35">
      <c r="A532" s="8"/>
      <c r="B532" s="7"/>
      <c r="D532" s="6" t="str">
        <f t="shared" si="27"/>
        <v/>
      </c>
      <c r="E532" s="6" t="str">
        <f t="shared" si="28"/>
        <v/>
      </c>
      <c r="F532" s="5" t="str">
        <f t="shared" si="29"/>
        <v/>
      </c>
    </row>
    <row r="533" spans="1:6" x14ac:dyDescent="0.35">
      <c r="A533" s="10"/>
      <c r="B533" s="9"/>
      <c r="D533" s="6" t="str">
        <f t="shared" si="27"/>
        <v/>
      </c>
      <c r="E533" s="6" t="str">
        <f t="shared" si="28"/>
        <v/>
      </c>
      <c r="F533" s="5" t="str">
        <f t="shared" si="29"/>
        <v/>
      </c>
    </row>
    <row r="534" spans="1:6" x14ac:dyDescent="0.35">
      <c r="A534" s="8"/>
      <c r="B534" s="7"/>
      <c r="D534" s="6" t="str">
        <f t="shared" si="27"/>
        <v/>
      </c>
      <c r="E534" s="6" t="str">
        <f t="shared" si="28"/>
        <v/>
      </c>
      <c r="F534" s="5" t="str">
        <f t="shared" si="29"/>
        <v/>
      </c>
    </row>
    <row r="535" spans="1:6" x14ac:dyDescent="0.35">
      <c r="A535" s="10"/>
      <c r="B535" s="9"/>
      <c r="D535" s="6" t="str">
        <f t="shared" si="27"/>
        <v/>
      </c>
      <c r="E535" s="6" t="str">
        <f t="shared" si="28"/>
        <v/>
      </c>
      <c r="F535" s="5" t="str">
        <f t="shared" si="29"/>
        <v/>
      </c>
    </row>
    <row r="536" spans="1:6" x14ac:dyDescent="0.35">
      <c r="A536" s="8"/>
      <c r="B536" s="7"/>
      <c r="D536" s="6" t="str">
        <f t="shared" si="27"/>
        <v/>
      </c>
      <c r="E536" s="6" t="str">
        <f t="shared" si="28"/>
        <v/>
      </c>
      <c r="F536" s="5" t="str">
        <f t="shared" si="29"/>
        <v/>
      </c>
    </row>
    <row r="537" spans="1:6" x14ac:dyDescent="0.35">
      <c r="A537" s="10"/>
      <c r="B537" s="9"/>
      <c r="D537" s="6" t="str">
        <f t="shared" si="27"/>
        <v/>
      </c>
      <c r="E537" s="6" t="str">
        <f t="shared" si="28"/>
        <v/>
      </c>
      <c r="F537" s="5" t="str">
        <f t="shared" si="29"/>
        <v/>
      </c>
    </row>
    <row r="538" spans="1:6" x14ac:dyDescent="0.35">
      <c r="A538" s="8"/>
      <c r="B538" s="7"/>
      <c r="D538" s="6" t="str">
        <f t="shared" si="27"/>
        <v/>
      </c>
      <c r="E538" s="6" t="str">
        <f t="shared" si="28"/>
        <v/>
      </c>
      <c r="F538" s="5" t="str">
        <f t="shared" si="29"/>
        <v/>
      </c>
    </row>
    <row r="539" spans="1:6" x14ac:dyDescent="0.35">
      <c r="A539" s="10"/>
      <c r="B539" s="9"/>
      <c r="D539" s="6" t="str">
        <f t="shared" si="27"/>
        <v/>
      </c>
      <c r="E539" s="6" t="str">
        <f t="shared" si="28"/>
        <v/>
      </c>
      <c r="F539" s="5" t="str">
        <f t="shared" si="29"/>
        <v/>
      </c>
    </row>
    <row r="540" spans="1:6" x14ac:dyDescent="0.35">
      <c r="A540" s="8"/>
      <c r="B540" s="7"/>
      <c r="D540" s="6" t="str">
        <f t="shared" si="27"/>
        <v/>
      </c>
      <c r="E540" s="6" t="str">
        <f t="shared" si="28"/>
        <v/>
      </c>
      <c r="F540" s="5" t="str">
        <f t="shared" si="29"/>
        <v/>
      </c>
    </row>
    <row r="541" spans="1:6" x14ac:dyDescent="0.35">
      <c r="A541" s="10"/>
      <c r="B541" s="9"/>
      <c r="D541" s="6" t="str">
        <f t="shared" si="27"/>
        <v/>
      </c>
      <c r="E541" s="6" t="str">
        <f t="shared" si="28"/>
        <v/>
      </c>
      <c r="F541" s="5" t="str">
        <f t="shared" si="29"/>
        <v/>
      </c>
    </row>
    <row r="542" spans="1:6" x14ac:dyDescent="0.35">
      <c r="A542" s="8"/>
      <c r="B542" s="7"/>
      <c r="D542" s="6" t="str">
        <f t="shared" si="27"/>
        <v/>
      </c>
      <c r="E542" s="6" t="str">
        <f t="shared" si="28"/>
        <v/>
      </c>
      <c r="F542" s="5" t="str">
        <f t="shared" si="29"/>
        <v/>
      </c>
    </row>
    <row r="543" spans="1:6" x14ac:dyDescent="0.35">
      <c r="A543" s="10"/>
      <c r="B543" s="9"/>
      <c r="D543" s="6" t="str">
        <f t="shared" si="27"/>
        <v/>
      </c>
      <c r="E543" s="6" t="str">
        <f t="shared" si="28"/>
        <v/>
      </c>
      <c r="F543" s="5" t="str">
        <f t="shared" si="29"/>
        <v/>
      </c>
    </row>
    <row r="544" spans="1:6" x14ac:dyDescent="0.35">
      <c r="A544" s="8"/>
      <c r="B544" s="7"/>
      <c r="D544" s="6" t="str">
        <f t="shared" si="27"/>
        <v/>
      </c>
      <c r="E544" s="6" t="str">
        <f t="shared" si="28"/>
        <v/>
      </c>
      <c r="F544" s="5" t="str">
        <f t="shared" si="29"/>
        <v/>
      </c>
    </row>
    <row r="545" spans="1:6" x14ac:dyDescent="0.35">
      <c r="A545" s="10"/>
      <c r="B545" s="9"/>
      <c r="D545" s="6" t="str">
        <f t="shared" si="27"/>
        <v/>
      </c>
      <c r="E545" s="6" t="str">
        <f t="shared" si="28"/>
        <v/>
      </c>
      <c r="F545" s="5" t="str">
        <f t="shared" si="29"/>
        <v/>
      </c>
    </row>
    <row r="546" spans="1:6" x14ac:dyDescent="0.35">
      <c r="A546" s="8"/>
      <c r="B546" s="7"/>
      <c r="D546" s="6" t="str">
        <f t="shared" si="27"/>
        <v/>
      </c>
      <c r="E546" s="6" t="str">
        <f t="shared" si="28"/>
        <v/>
      </c>
      <c r="F546" s="5" t="str">
        <f t="shared" si="29"/>
        <v/>
      </c>
    </row>
    <row r="547" spans="1:6" x14ac:dyDescent="0.35">
      <c r="A547" s="10"/>
      <c r="B547" s="9"/>
      <c r="D547" s="6" t="str">
        <f t="shared" si="27"/>
        <v/>
      </c>
      <c r="E547" s="6" t="str">
        <f t="shared" si="28"/>
        <v/>
      </c>
      <c r="F547" s="5" t="str">
        <f t="shared" si="29"/>
        <v/>
      </c>
    </row>
    <row r="548" spans="1:6" x14ac:dyDescent="0.35">
      <c r="A548" s="8"/>
      <c r="B548" s="7"/>
      <c r="D548" s="6" t="str">
        <f t="shared" si="27"/>
        <v/>
      </c>
      <c r="E548" s="6" t="str">
        <f t="shared" si="28"/>
        <v/>
      </c>
      <c r="F548" s="5" t="str">
        <f t="shared" si="29"/>
        <v/>
      </c>
    </row>
    <row r="549" spans="1:6" x14ac:dyDescent="0.35">
      <c r="A549" s="10"/>
      <c r="B549" s="9"/>
      <c r="D549" s="6" t="str">
        <f t="shared" si="27"/>
        <v/>
      </c>
      <c r="E549" s="6" t="str">
        <f t="shared" si="28"/>
        <v/>
      </c>
      <c r="F549" s="5" t="str">
        <f t="shared" si="29"/>
        <v/>
      </c>
    </row>
    <row r="550" spans="1:6" x14ac:dyDescent="0.35">
      <c r="A550" s="8"/>
      <c r="B550" s="7"/>
      <c r="D550" s="6" t="str">
        <f t="shared" si="27"/>
        <v/>
      </c>
      <c r="E550" s="6" t="str">
        <f t="shared" si="28"/>
        <v/>
      </c>
      <c r="F550" s="5" t="str">
        <f t="shared" si="29"/>
        <v/>
      </c>
    </row>
    <row r="551" spans="1:6" x14ac:dyDescent="0.35">
      <c r="A551" s="10"/>
      <c r="B551" s="9"/>
      <c r="D551" s="6" t="str">
        <f t="shared" si="27"/>
        <v/>
      </c>
      <c r="E551" s="6" t="str">
        <f t="shared" si="28"/>
        <v/>
      </c>
      <c r="F551" s="5" t="str">
        <f t="shared" si="29"/>
        <v/>
      </c>
    </row>
    <row r="552" spans="1:6" x14ac:dyDescent="0.35">
      <c r="A552" s="8"/>
      <c r="B552" s="7"/>
      <c r="D552" s="6" t="str">
        <f t="shared" si="27"/>
        <v/>
      </c>
      <c r="E552" s="6" t="str">
        <f t="shared" si="28"/>
        <v/>
      </c>
      <c r="F552" s="5" t="str">
        <f t="shared" si="29"/>
        <v/>
      </c>
    </row>
    <row r="553" spans="1:6" x14ac:dyDescent="0.35">
      <c r="A553" s="10"/>
      <c r="B553" s="9"/>
      <c r="D553" s="6" t="str">
        <f t="shared" si="27"/>
        <v/>
      </c>
      <c r="E553" s="6" t="str">
        <f t="shared" si="28"/>
        <v/>
      </c>
      <c r="F553" s="5" t="str">
        <f t="shared" si="29"/>
        <v/>
      </c>
    </row>
    <row r="554" spans="1:6" x14ac:dyDescent="0.35">
      <c r="A554" s="8"/>
      <c r="B554" s="7"/>
      <c r="D554" s="6" t="str">
        <f t="shared" si="27"/>
        <v/>
      </c>
      <c r="E554" s="6" t="str">
        <f t="shared" si="28"/>
        <v/>
      </c>
      <c r="F554" s="5" t="str">
        <f t="shared" si="29"/>
        <v/>
      </c>
    </row>
    <row r="555" spans="1:6" x14ac:dyDescent="0.35">
      <c r="A555" s="10"/>
      <c r="B555" s="9"/>
      <c r="D555" s="6" t="str">
        <f t="shared" si="27"/>
        <v/>
      </c>
      <c r="E555" s="6" t="str">
        <f t="shared" si="28"/>
        <v/>
      </c>
      <c r="F555" s="5" t="str">
        <f t="shared" si="29"/>
        <v/>
      </c>
    </row>
    <row r="556" spans="1:6" x14ac:dyDescent="0.35">
      <c r="A556" s="8"/>
      <c r="B556" s="7"/>
      <c r="D556" s="6" t="str">
        <f t="shared" si="27"/>
        <v/>
      </c>
      <c r="E556" s="6" t="str">
        <f t="shared" si="28"/>
        <v/>
      </c>
      <c r="F556" s="5" t="str">
        <f t="shared" si="29"/>
        <v/>
      </c>
    </row>
    <row r="557" spans="1:6" x14ac:dyDescent="0.35">
      <c r="A557" s="10"/>
      <c r="B557" s="9"/>
      <c r="D557" s="6" t="str">
        <f t="shared" si="27"/>
        <v/>
      </c>
      <c r="E557" s="6" t="str">
        <f t="shared" si="28"/>
        <v/>
      </c>
      <c r="F557" s="5" t="str">
        <f t="shared" si="29"/>
        <v/>
      </c>
    </row>
    <row r="558" spans="1:6" x14ac:dyDescent="0.35">
      <c r="A558" s="8"/>
      <c r="B558" s="7"/>
      <c r="D558" s="6" t="str">
        <f t="shared" si="27"/>
        <v/>
      </c>
      <c r="E558" s="6" t="str">
        <f t="shared" si="28"/>
        <v/>
      </c>
      <c r="F558" s="5" t="str">
        <f t="shared" si="29"/>
        <v/>
      </c>
    </row>
    <row r="559" spans="1:6" x14ac:dyDescent="0.35">
      <c r="A559" s="10"/>
      <c r="B559" s="9"/>
      <c r="D559" s="6" t="str">
        <f t="shared" si="27"/>
        <v/>
      </c>
      <c r="E559" s="6" t="str">
        <f t="shared" si="28"/>
        <v/>
      </c>
      <c r="F559" s="5" t="str">
        <f t="shared" si="29"/>
        <v/>
      </c>
    </row>
    <row r="560" spans="1:6" x14ac:dyDescent="0.35">
      <c r="A560" s="8"/>
      <c r="B560" s="7"/>
      <c r="D560" s="6" t="str">
        <f t="shared" si="27"/>
        <v/>
      </c>
      <c r="E560" s="6" t="str">
        <f t="shared" si="28"/>
        <v/>
      </c>
      <c r="F560" s="5" t="str">
        <f t="shared" si="29"/>
        <v/>
      </c>
    </row>
    <row r="561" spans="1:6" x14ac:dyDescent="0.35">
      <c r="A561" s="10"/>
      <c r="B561" s="9"/>
      <c r="D561" s="6" t="str">
        <f t="shared" si="27"/>
        <v/>
      </c>
      <c r="E561" s="6" t="str">
        <f t="shared" si="28"/>
        <v/>
      </c>
      <c r="F561" s="5" t="str">
        <f t="shared" si="29"/>
        <v/>
      </c>
    </row>
    <row r="562" spans="1:6" x14ac:dyDescent="0.35">
      <c r="A562" s="8"/>
      <c r="B562" s="7"/>
      <c r="D562" s="6" t="str">
        <f t="shared" si="27"/>
        <v/>
      </c>
      <c r="E562" s="6" t="str">
        <f t="shared" si="28"/>
        <v/>
      </c>
      <c r="F562" s="5" t="str">
        <f t="shared" si="29"/>
        <v/>
      </c>
    </row>
    <row r="563" spans="1:6" x14ac:dyDescent="0.35">
      <c r="A563" s="10"/>
      <c r="B563" s="9"/>
      <c r="D563" s="6" t="str">
        <f t="shared" si="27"/>
        <v/>
      </c>
      <c r="E563" s="6" t="str">
        <f t="shared" si="28"/>
        <v/>
      </c>
      <c r="F563" s="5" t="str">
        <f t="shared" si="29"/>
        <v/>
      </c>
    </row>
    <row r="564" spans="1:6" x14ac:dyDescent="0.35">
      <c r="A564" s="8"/>
      <c r="B564" s="7"/>
      <c r="D564" s="6" t="str">
        <f t="shared" si="27"/>
        <v/>
      </c>
      <c r="E564" s="6" t="str">
        <f t="shared" si="28"/>
        <v/>
      </c>
      <c r="F564" s="5" t="str">
        <f t="shared" si="29"/>
        <v/>
      </c>
    </row>
    <row r="565" spans="1:6" x14ac:dyDescent="0.35">
      <c r="A565" s="10"/>
      <c r="B565" s="9"/>
      <c r="D565" s="6" t="str">
        <f t="shared" si="27"/>
        <v/>
      </c>
      <c r="E565" s="6" t="str">
        <f t="shared" si="28"/>
        <v/>
      </c>
      <c r="F565" s="5" t="str">
        <f t="shared" si="29"/>
        <v/>
      </c>
    </row>
    <row r="566" spans="1:6" x14ac:dyDescent="0.35">
      <c r="A566" s="8"/>
      <c r="B566" s="7"/>
      <c r="D566" s="6" t="str">
        <f t="shared" si="27"/>
        <v/>
      </c>
      <c r="E566" s="6" t="str">
        <f t="shared" si="28"/>
        <v/>
      </c>
      <c r="F566" s="5" t="str">
        <f t="shared" si="29"/>
        <v/>
      </c>
    </row>
    <row r="567" spans="1:6" x14ac:dyDescent="0.35">
      <c r="A567" s="10"/>
      <c r="B567" s="9"/>
      <c r="D567" s="6" t="str">
        <f t="shared" si="27"/>
        <v/>
      </c>
      <c r="E567" s="6" t="str">
        <f t="shared" si="28"/>
        <v/>
      </c>
      <c r="F567" s="5" t="str">
        <f t="shared" si="29"/>
        <v/>
      </c>
    </row>
    <row r="568" spans="1:6" x14ac:dyDescent="0.35">
      <c r="A568" s="8"/>
      <c r="B568" s="7"/>
      <c r="D568" s="6" t="str">
        <f t="shared" si="27"/>
        <v/>
      </c>
      <c r="E568" s="6" t="str">
        <f t="shared" si="28"/>
        <v/>
      </c>
      <c r="F568" s="5" t="str">
        <f t="shared" si="29"/>
        <v/>
      </c>
    </row>
    <row r="569" spans="1:6" x14ac:dyDescent="0.35">
      <c r="A569" s="10"/>
      <c r="B569" s="9"/>
      <c r="D569" s="6" t="str">
        <f t="shared" si="27"/>
        <v/>
      </c>
      <c r="E569" s="6" t="str">
        <f t="shared" si="28"/>
        <v/>
      </c>
      <c r="F569" s="5" t="str">
        <f t="shared" si="29"/>
        <v/>
      </c>
    </row>
    <row r="570" spans="1:6" x14ac:dyDescent="0.35">
      <c r="A570" s="8"/>
      <c r="B570" s="7"/>
      <c r="D570" s="6" t="str">
        <f t="shared" si="27"/>
        <v/>
      </c>
      <c r="E570" s="6" t="str">
        <f t="shared" si="28"/>
        <v/>
      </c>
      <c r="F570" s="5" t="str">
        <f t="shared" si="29"/>
        <v/>
      </c>
    </row>
    <row r="571" spans="1:6" x14ac:dyDescent="0.35">
      <c r="A571" s="10"/>
      <c r="B571" s="9"/>
      <c r="D571" s="6" t="str">
        <f t="shared" si="27"/>
        <v/>
      </c>
      <c r="E571" s="6" t="str">
        <f t="shared" si="28"/>
        <v/>
      </c>
      <c r="F571" s="5" t="str">
        <f t="shared" si="29"/>
        <v/>
      </c>
    </row>
    <row r="572" spans="1:6" x14ac:dyDescent="0.35">
      <c r="A572" s="8"/>
      <c r="B572" s="7"/>
      <c r="D572" s="6" t="str">
        <f t="shared" si="27"/>
        <v/>
      </c>
      <c r="E572" s="6" t="str">
        <f t="shared" si="28"/>
        <v/>
      </c>
      <c r="F572" s="5" t="str">
        <f t="shared" si="29"/>
        <v/>
      </c>
    </row>
    <row r="573" spans="1:6" x14ac:dyDescent="0.35">
      <c r="A573" s="10"/>
      <c r="B573" s="9"/>
      <c r="D573" s="6" t="str">
        <f t="shared" si="27"/>
        <v/>
      </c>
      <c r="E573" s="6" t="str">
        <f t="shared" si="28"/>
        <v/>
      </c>
      <c r="F573" s="5" t="str">
        <f t="shared" si="29"/>
        <v/>
      </c>
    </row>
    <row r="574" spans="1:6" x14ac:dyDescent="0.35">
      <c r="A574" s="8"/>
      <c r="B574" s="7"/>
      <c r="D574" s="6" t="str">
        <f t="shared" si="27"/>
        <v/>
      </c>
      <c r="E574" s="6" t="str">
        <f t="shared" si="28"/>
        <v/>
      </c>
      <c r="F574" s="5" t="str">
        <f t="shared" si="29"/>
        <v/>
      </c>
    </row>
    <row r="575" spans="1:6" x14ac:dyDescent="0.35">
      <c r="A575" s="10"/>
      <c r="B575" s="9"/>
      <c r="D575" s="6" t="str">
        <f t="shared" ref="D575:D600" si="30">IF(A575 =  "", "",  TEXT(A575, "mm/dd/yyyy"))</f>
        <v/>
      </c>
      <c r="E575" s="6" t="str">
        <f t="shared" ref="E575:E600" si="31">IF(A575="", "", EntityLocal)</f>
        <v/>
      </c>
      <c r="F575" s="5" t="str">
        <f t="shared" ref="F575:F600" si="32">IF(B575="","", B575)</f>
        <v/>
      </c>
    </row>
    <row r="576" spans="1:6" x14ac:dyDescent="0.35">
      <c r="A576" s="8"/>
      <c r="B576" s="7"/>
      <c r="D576" s="6" t="str">
        <f t="shared" si="30"/>
        <v/>
      </c>
      <c r="E576" s="6" t="str">
        <f t="shared" si="31"/>
        <v/>
      </c>
      <c r="F576" s="5" t="str">
        <f t="shared" si="32"/>
        <v/>
      </c>
    </row>
    <row r="577" spans="1:6" x14ac:dyDescent="0.35">
      <c r="A577" s="10"/>
      <c r="B577" s="9"/>
      <c r="D577" s="6" t="str">
        <f t="shared" si="30"/>
        <v/>
      </c>
      <c r="E577" s="6" t="str">
        <f t="shared" si="31"/>
        <v/>
      </c>
      <c r="F577" s="5" t="str">
        <f t="shared" si="32"/>
        <v/>
      </c>
    </row>
    <row r="578" spans="1:6" x14ac:dyDescent="0.35">
      <c r="A578" s="8"/>
      <c r="B578" s="7"/>
      <c r="D578" s="6" t="str">
        <f t="shared" si="30"/>
        <v/>
      </c>
      <c r="E578" s="6" t="str">
        <f t="shared" si="31"/>
        <v/>
      </c>
      <c r="F578" s="5" t="str">
        <f t="shared" si="32"/>
        <v/>
      </c>
    </row>
    <row r="579" spans="1:6" x14ac:dyDescent="0.35">
      <c r="A579" s="10"/>
      <c r="B579" s="9"/>
      <c r="D579" s="6" t="str">
        <f t="shared" si="30"/>
        <v/>
      </c>
      <c r="E579" s="6" t="str">
        <f t="shared" si="31"/>
        <v/>
      </c>
      <c r="F579" s="5" t="str">
        <f t="shared" si="32"/>
        <v/>
      </c>
    </row>
    <row r="580" spans="1:6" x14ac:dyDescent="0.35">
      <c r="A580" s="8"/>
      <c r="B580" s="7"/>
      <c r="D580" s="6" t="str">
        <f t="shared" si="30"/>
        <v/>
      </c>
      <c r="E580" s="6" t="str">
        <f t="shared" si="31"/>
        <v/>
      </c>
      <c r="F580" s="5" t="str">
        <f t="shared" si="32"/>
        <v/>
      </c>
    </row>
    <row r="581" spans="1:6" x14ac:dyDescent="0.35">
      <c r="A581" s="10"/>
      <c r="B581" s="9"/>
      <c r="D581" s="6" t="str">
        <f t="shared" si="30"/>
        <v/>
      </c>
      <c r="E581" s="6" t="str">
        <f t="shared" si="31"/>
        <v/>
      </c>
      <c r="F581" s="5" t="str">
        <f t="shared" si="32"/>
        <v/>
      </c>
    </row>
    <row r="582" spans="1:6" x14ac:dyDescent="0.35">
      <c r="A582" s="8"/>
      <c r="B582" s="7"/>
      <c r="D582" s="6" t="str">
        <f t="shared" si="30"/>
        <v/>
      </c>
      <c r="E582" s="6" t="str">
        <f t="shared" si="31"/>
        <v/>
      </c>
      <c r="F582" s="5" t="str">
        <f t="shared" si="32"/>
        <v/>
      </c>
    </row>
    <row r="583" spans="1:6" x14ac:dyDescent="0.35">
      <c r="A583" s="10"/>
      <c r="B583" s="9"/>
      <c r="D583" s="6" t="str">
        <f t="shared" si="30"/>
        <v/>
      </c>
      <c r="E583" s="6" t="str">
        <f t="shared" si="31"/>
        <v/>
      </c>
      <c r="F583" s="5" t="str">
        <f t="shared" si="32"/>
        <v/>
      </c>
    </row>
    <row r="584" spans="1:6" x14ac:dyDescent="0.35">
      <c r="A584" s="8"/>
      <c r="B584" s="7"/>
      <c r="D584" s="6" t="str">
        <f t="shared" si="30"/>
        <v/>
      </c>
      <c r="E584" s="6" t="str">
        <f t="shared" si="31"/>
        <v/>
      </c>
      <c r="F584" s="5" t="str">
        <f t="shared" si="32"/>
        <v/>
      </c>
    </row>
    <row r="585" spans="1:6" x14ac:dyDescent="0.35">
      <c r="A585" s="10"/>
      <c r="B585" s="9"/>
      <c r="D585" s="6" t="str">
        <f t="shared" si="30"/>
        <v/>
      </c>
      <c r="E585" s="6" t="str">
        <f t="shared" si="31"/>
        <v/>
      </c>
      <c r="F585" s="5" t="str">
        <f t="shared" si="32"/>
        <v/>
      </c>
    </row>
    <row r="586" spans="1:6" x14ac:dyDescent="0.35">
      <c r="A586" s="8"/>
      <c r="B586" s="7"/>
      <c r="D586" s="6" t="str">
        <f t="shared" si="30"/>
        <v/>
      </c>
      <c r="E586" s="6" t="str">
        <f t="shared" si="31"/>
        <v/>
      </c>
      <c r="F586" s="5" t="str">
        <f t="shared" si="32"/>
        <v/>
      </c>
    </row>
    <row r="587" spans="1:6" x14ac:dyDescent="0.35">
      <c r="A587" s="10"/>
      <c r="B587" s="9"/>
      <c r="D587" s="6" t="str">
        <f t="shared" si="30"/>
        <v/>
      </c>
      <c r="E587" s="6" t="str">
        <f t="shared" si="31"/>
        <v/>
      </c>
      <c r="F587" s="5" t="str">
        <f t="shared" si="32"/>
        <v/>
      </c>
    </row>
    <row r="588" spans="1:6" x14ac:dyDescent="0.35">
      <c r="A588" s="8"/>
      <c r="B588" s="7"/>
      <c r="D588" s="6" t="str">
        <f t="shared" si="30"/>
        <v/>
      </c>
      <c r="E588" s="6" t="str">
        <f t="shared" si="31"/>
        <v/>
      </c>
      <c r="F588" s="5" t="str">
        <f t="shared" si="32"/>
        <v/>
      </c>
    </row>
    <row r="589" spans="1:6" x14ac:dyDescent="0.35">
      <c r="A589" s="10"/>
      <c r="B589" s="9"/>
      <c r="D589" s="6" t="str">
        <f t="shared" si="30"/>
        <v/>
      </c>
      <c r="E589" s="6" t="str">
        <f t="shared" si="31"/>
        <v/>
      </c>
      <c r="F589" s="5" t="str">
        <f t="shared" si="32"/>
        <v/>
      </c>
    </row>
    <row r="590" spans="1:6" x14ac:dyDescent="0.35">
      <c r="A590" s="8"/>
      <c r="B590" s="7"/>
      <c r="D590" s="6" t="str">
        <f t="shared" si="30"/>
        <v/>
      </c>
      <c r="E590" s="6" t="str">
        <f t="shared" si="31"/>
        <v/>
      </c>
      <c r="F590" s="5" t="str">
        <f t="shared" si="32"/>
        <v/>
      </c>
    </row>
    <row r="591" spans="1:6" x14ac:dyDescent="0.35">
      <c r="A591" s="10"/>
      <c r="B591" s="9"/>
      <c r="D591" s="6" t="str">
        <f t="shared" si="30"/>
        <v/>
      </c>
      <c r="E591" s="6" t="str">
        <f t="shared" si="31"/>
        <v/>
      </c>
      <c r="F591" s="5" t="str">
        <f t="shared" si="32"/>
        <v/>
      </c>
    </row>
    <row r="592" spans="1:6" x14ac:dyDescent="0.35">
      <c r="A592" s="8"/>
      <c r="B592" s="7"/>
      <c r="D592" s="6" t="str">
        <f t="shared" si="30"/>
        <v/>
      </c>
      <c r="E592" s="6" t="str">
        <f t="shared" si="31"/>
        <v/>
      </c>
      <c r="F592" s="5" t="str">
        <f t="shared" si="32"/>
        <v/>
      </c>
    </row>
    <row r="593" spans="1:6" x14ac:dyDescent="0.35">
      <c r="A593" s="10"/>
      <c r="B593" s="9"/>
      <c r="D593" s="6" t="str">
        <f t="shared" si="30"/>
        <v/>
      </c>
      <c r="E593" s="6" t="str">
        <f t="shared" si="31"/>
        <v/>
      </c>
      <c r="F593" s="5" t="str">
        <f t="shared" si="32"/>
        <v/>
      </c>
    </row>
    <row r="594" spans="1:6" x14ac:dyDescent="0.35">
      <c r="A594" s="8"/>
      <c r="B594" s="7"/>
      <c r="D594" s="6" t="str">
        <f t="shared" si="30"/>
        <v/>
      </c>
      <c r="E594" s="6" t="str">
        <f t="shared" si="31"/>
        <v/>
      </c>
      <c r="F594" s="5" t="str">
        <f t="shared" si="32"/>
        <v/>
      </c>
    </row>
    <row r="595" spans="1:6" x14ac:dyDescent="0.35">
      <c r="A595" s="10"/>
      <c r="B595" s="9"/>
      <c r="D595" s="6" t="str">
        <f t="shared" si="30"/>
        <v/>
      </c>
      <c r="E595" s="6" t="str">
        <f t="shared" si="31"/>
        <v/>
      </c>
      <c r="F595" s="5" t="str">
        <f t="shared" si="32"/>
        <v/>
      </c>
    </row>
    <row r="596" spans="1:6" x14ac:dyDescent="0.35">
      <c r="A596" s="8"/>
      <c r="B596" s="7"/>
      <c r="D596" s="6" t="str">
        <f t="shared" si="30"/>
        <v/>
      </c>
      <c r="E596" s="6" t="str">
        <f t="shared" si="31"/>
        <v/>
      </c>
      <c r="F596" s="5" t="str">
        <f t="shared" si="32"/>
        <v/>
      </c>
    </row>
    <row r="597" spans="1:6" x14ac:dyDescent="0.35">
      <c r="A597" s="10"/>
      <c r="B597" s="9"/>
      <c r="D597" s="6" t="str">
        <f t="shared" si="30"/>
        <v/>
      </c>
      <c r="E597" s="6" t="str">
        <f t="shared" si="31"/>
        <v/>
      </c>
      <c r="F597" s="5" t="str">
        <f t="shared" si="32"/>
        <v/>
      </c>
    </row>
    <row r="598" spans="1:6" x14ac:dyDescent="0.35">
      <c r="A598" s="8"/>
      <c r="B598" s="7"/>
      <c r="D598" s="6" t="str">
        <f t="shared" si="30"/>
        <v/>
      </c>
      <c r="E598" s="6" t="str">
        <f t="shared" si="31"/>
        <v/>
      </c>
      <c r="F598" s="5" t="str">
        <f t="shared" si="32"/>
        <v/>
      </c>
    </row>
    <row r="599" spans="1:6" x14ac:dyDescent="0.35">
      <c r="A599" s="10"/>
      <c r="B599" s="9"/>
      <c r="D599" s="6" t="str">
        <f t="shared" si="30"/>
        <v/>
      </c>
      <c r="E599" s="6" t="str">
        <f t="shared" si="31"/>
        <v/>
      </c>
      <c r="F599" s="5" t="str">
        <f t="shared" si="32"/>
        <v/>
      </c>
    </row>
    <row r="600" spans="1:6" x14ac:dyDescent="0.35">
      <c r="A600" s="8"/>
      <c r="B600" s="7"/>
      <c r="D600" s="6" t="str">
        <f t="shared" si="30"/>
        <v/>
      </c>
      <c r="E600" s="6" t="str">
        <f t="shared" si="31"/>
        <v/>
      </c>
      <c r="F600" s="5" t="str">
        <f t="shared" si="32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33AE5-48C5-470D-8966-7548C910F71F}">
  <sheetPr codeName="Sheet7"/>
  <dimension ref="A1:F600"/>
  <sheetViews>
    <sheetView showGridLines="0" zoomScale="91" zoomScaleNormal="91" workbookViewId="0">
      <pane xSplit="2" ySplit="2" topLeftCell="C482" activePane="bottomRight" state="frozen"/>
      <selection activeCell="B2" sqref="B2"/>
      <selection pane="topRight" activeCell="B2" sqref="B2"/>
      <selection pane="bottomLeft" activeCell="B2" sqref="B2"/>
      <selection pane="bottomRight" activeCell="A529" sqref="A529"/>
    </sheetView>
  </sheetViews>
  <sheetFormatPr defaultRowHeight="14.5" x14ac:dyDescent="0.35"/>
  <cols>
    <col min="1" max="1" width="17.7265625" style="4" customWidth="1"/>
    <col min="2" max="2" width="17.7265625" style="3" customWidth="1"/>
    <col min="3" max="3" width="8.7265625" customWidth="1"/>
    <col min="4" max="5" width="19.7265625" style="2" customWidth="1"/>
    <col min="6" max="6" width="19.7265625" style="1" customWidth="1"/>
  </cols>
  <sheetData>
    <row r="1" spans="1:6" x14ac:dyDescent="0.35">
      <c r="A1" s="4" t="str">
        <f>_xll.BQL(EntityLocal, "dropna(day_to_day_tot_return_gross_dvds(dates=range(2023-01-01, 2025-12-31)))","cols=2;rows=529")</f>
        <v/>
      </c>
      <c r="B1" s="18" t="s">
        <v>11</v>
      </c>
    </row>
    <row r="2" spans="1:6" x14ac:dyDescent="0.35">
      <c r="A2" s="17" t="s">
        <v>3</v>
      </c>
      <c r="B2" s="16" t="s">
        <v>12</v>
      </c>
      <c r="C2" t="str">
        <f>""</f>
        <v/>
      </c>
      <c r="D2" s="15" t="s">
        <v>2</v>
      </c>
      <c r="E2" s="14" t="s">
        <v>1</v>
      </c>
      <c r="F2" s="13" t="s">
        <v>0</v>
      </c>
    </row>
    <row r="3" spans="1:6" x14ac:dyDescent="0.35">
      <c r="A3" s="12">
        <v>44929</v>
      </c>
      <c r="B3" s="11">
        <v>-2.1603732182256471E-2</v>
      </c>
      <c r="D3" s="6" t="str">
        <f t="shared" ref="D3:D66" si="0">IF(A3 =  "", "",  TEXT(A3, "mm/dd/yyyy"))</f>
        <v>01/03/2023</v>
      </c>
      <c r="E3" s="6" t="str">
        <f t="shared" ref="E3:E66" si="1">IF(A3="", "", EntityLocal)</f>
        <v>RGUSHSBT Index</v>
      </c>
      <c r="F3" s="5">
        <f t="shared" ref="F3:F66" si="2">IF(B3="","", B3)</f>
        <v>-2.1603732182256471E-2</v>
      </c>
    </row>
    <row r="4" spans="1:6" x14ac:dyDescent="0.35">
      <c r="A4" s="8">
        <v>44930</v>
      </c>
      <c r="B4" s="7">
        <v>1.8154334888951063E-2</v>
      </c>
      <c r="D4" s="6" t="str">
        <f t="shared" si="0"/>
        <v>01/04/2023</v>
      </c>
      <c r="E4" s="6" t="str">
        <f t="shared" si="1"/>
        <v>RGUSHSBT Index</v>
      </c>
      <c r="F4" s="5">
        <f t="shared" si="2"/>
        <v>1.8154334888951063E-2</v>
      </c>
    </row>
    <row r="5" spans="1:6" x14ac:dyDescent="0.35">
      <c r="A5" s="10">
        <v>44931</v>
      </c>
      <c r="B5" s="9">
        <v>-1.1934362514936868E-2</v>
      </c>
      <c r="D5" s="6" t="str">
        <f t="shared" si="0"/>
        <v>01/05/2023</v>
      </c>
      <c r="E5" s="6" t="str">
        <f t="shared" si="1"/>
        <v>RGUSHSBT Index</v>
      </c>
      <c r="F5" s="5">
        <f t="shared" si="2"/>
        <v>-1.1934362514936868E-2</v>
      </c>
    </row>
    <row r="6" spans="1:6" x14ac:dyDescent="0.35">
      <c r="A6" s="8">
        <v>44932</v>
      </c>
      <c r="B6" s="7">
        <v>7.2959708771962971E-3</v>
      </c>
      <c r="D6" s="6" t="str">
        <f t="shared" si="0"/>
        <v>01/06/2023</v>
      </c>
      <c r="E6" s="6" t="str">
        <f t="shared" si="1"/>
        <v>RGUSHSBT Index</v>
      </c>
      <c r="F6" s="5">
        <f t="shared" si="2"/>
        <v>7.2959708771962971E-3</v>
      </c>
    </row>
    <row r="7" spans="1:6" x14ac:dyDescent="0.35">
      <c r="A7" s="10">
        <v>44935</v>
      </c>
      <c r="B7" s="9">
        <v>-9.4563866234120761E-3</v>
      </c>
      <c r="D7" s="6" t="str">
        <f t="shared" si="0"/>
        <v>01/09/2023</v>
      </c>
      <c r="E7" s="6" t="str">
        <f t="shared" si="1"/>
        <v>RGUSHSBT Index</v>
      </c>
      <c r="F7" s="5">
        <f t="shared" si="2"/>
        <v>-9.4563866234120761E-3</v>
      </c>
    </row>
    <row r="8" spans="1:6" x14ac:dyDescent="0.35">
      <c r="A8" s="8">
        <v>44936</v>
      </c>
      <c r="B8" s="7">
        <v>2.7660531784972006E-2</v>
      </c>
      <c r="D8" s="6" t="str">
        <f t="shared" si="0"/>
        <v>01/10/2023</v>
      </c>
      <c r="E8" s="6" t="str">
        <f t="shared" si="1"/>
        <v>RGUSHSBT Index</v>
      </c>
      <c r="F8" s="5">
        <f t="shared" si="2"/>
        <v>2.7660531784972006E-2</v>
      </c>
    </row>
    <row r="9" spans="1:6" x14ac:dyDescent="0.35">
      <c r="A9" s="10">
        <v>44937</v>
      </c>
      <c r="B9" s="9">
        <v>6.8176132099073928E-3</v>
      </c>
      <c r="D9" s="6" t="str">
        <f t="shared" si="0"/>
        <v>01/11/2023</v>
      </c>
      <c r="E9" s="6" t="str">
        <f t="shared" si="1"/>
        <v>RGUSHSBT Index</v>
      </c>
      <c r="F9" s="5">
        <f t="shared" si="2"/>
        <v>6.8176132099073928E-3</v>
      </c>
    </row>
    <row r="10" spans="1:6" x14ac:dyDescent="0.35">
      <c r="A10" s="8">
        <v>44938</v>
      </c>
      <c r="B10" s="7">
        <v>4.4844203445185048E-2</v>
      </c>
      <c r="D10" s="6" t="str">
        <f t="shared" si="0"/>
        <v>01/12/2023</v>
      </c>
      <c r="E10" s="6" t="str">
        <f t="shared" si="1"/>
        <v>RGUSHSBT Index</v>
      </c>
      <c r="F10" s="5">
        <f t="shared" si="2"/>
        <v>4.4844203445185048E-2</v>
      </c>
    </row>
    <row r="11" spans="1:6" x14ac:dyDescent="0.35">
      <c r="A11" s="10">
        <v>44939</v>
      </c>
      <c r="B11" s="9">
        <v>4.3715104361317951E-3</v>
      </c>
      <c r="D11" s="6" t="str">
        <f t="shared" si="0"/>
        <v>01/13/2023</v>
      </c>
      <c r="E11" s="6" t="str">
        <f t="shared" si="1"/>
        <v>RGUSHSBT Index</v>
      </c>
      <c r="F11" s="5">
        <f t="shared" si="2"/>
        <v>4.3715104361317951E-3</v>
      </c>
    </row>
    <row r="12" spans="1:6" x14ac:dyDescent="0.35">
      <c r="A12" s="8">
        <v>44943</v>
      </c>
      <c r="B12" s="7">
        <v>-5.6830354625924083E-3</v>
      </c>
      <c r="D12" s="6" t="str">
        <f t="shared" si="0"/>
        <v>01/17/2023</v>
      </c>
      <c r="E12" s="6" t="str">
        <f t="shared" si="1"/>
        <v>RGUSHSBT Index</v>
      </c>
      <c r="F12" s="5">
        <f t="shared" si="2"/>
        <v>-5.6830354625924083E-3</v>
      </c>
    </row>
    <row r="13" spans="1:6" x14ac:dyDescent="0.35">
      <c r="A13" s="10">
        <v>44944</v>
      </c>
      <c r="B13" s="9">
        <v>-1.0438756648257479E-2</v>
      </c>
      <c r="D13" s="6" t="str">
        <f t="shared" si="0"/>
        <v>01/18/2023</v>
      </c>
      <c r="E13" s="6" t="str">
        <f t="shared" si="1"/>
        <v>RGUSHSBT Index</v>
      </c>
      <c r="F13" s="5">
        <f t="shared" si="2"/>
        <v>-1.0438756648257479E-2</v>
      </c>
    </row>
    <row r="14" spans="1:6" x14ac:dyDescent="0.35">
      <c r="A14" s="8">
        <v>44945</v>
      </c>
      <c r="B14" s="7">
        <v>-1.406421003776054E-2</v>
      </c>
      <c r="D14" s="6" t="str">
        <f t="shared" si="0"/>
        <v>01/19/2023</v>
      </c>
      <c r="E14" s="6" t="str">
        <f t="shared" si="1"/>
        <v>RGUSHSBT Index</v>
      </c>
      <c r="F14" s="5">
        <f t="shared" si="2"/>
        <v>-1.406421003776054E-2</v>
      </c>
    </row>
    <row r="15" spans="1:6" x14ac:dyDescent="0.35">
      <c r="A15" s="10">
        <v>44946</v>
      </c>
      <c r="B15" s="9">
        <v>2.029157331613066E-2</v>
      </c>
      <c r="D15" s="6" t="str">
        <f t="shared" si="0"/>
        <v>01/20/2023</v>
      </c>
      <c r="E15" s="6" t="str">
        <f t="shared" si="1"/>
        <v>RGUSHSBT Index</v>
      </c>
      <c r="F15" s="5">
        <f t="shared" si="2"/>
        <v>2.029157331613066E-2</v>
      </c>
    </row>
    <row r="16" spans="1:6" x14ac:dyDescent="0.35">
      <c r="A16" s="8">
        <v>44949</v>
      </c>
      <c r="B16" s="7">
        <v>5.2603697923194201E-3</v>
      </c>
      <c r="D16" s="6" t="str">
        <f t="shared" si="0"/>
        <v>01/23/2023</v>
      </c>
      <c r="E16" s="6" t="str">
        <f t="shared" si="1"/>
        <v>RGUSHSBT Index</v>
      </c>
      <c r="F16" s="5">
        <f t="shared" si="2"/>
        <v>5.2603697923194201E-3</v>
      </c>
    </row>
    <row r="17" spans="1:6" x14ac:dyDescent="0.35">
      <c r="A17" s="10">
        <v>44950</v>
      </c>
      <c r="B17" s="9">
        <v>1.6780795720797936E-2</v>
      </c>
      <c r="D17" s="6" t="str">
        <f t="shared" si="0"/>
        <v>01/24/2023</v>
      </c>
      <c r="E17" s="6" t="str">
        <f t="shared" si="1"/>
        <v>RGUSHSBT Index</v>
      </c>
      <c r="F17" s="5">
        <f t="shared" si="2"/>
        <v>1.6780795720797936E-2</v>
      </c>
    </row>
    <row r="18" spans="1:6" x14ac:dyDescent="0.35">
      <c r="A18" s="8">
        <v>44951</v>
      </c>
      <c r="B18" s="7">
        <v>1.9142568949471115E-3</v>
      </c>
      <c r="D18" s="6" t="str">
        <f t="shared" si="0"/>
        <v>01/25/2023</v>
      </c>
      <c r="E18" s="6" t="str">
        <f t="shared" si="1"/>
        <v>RGUSHSBT Index</v>
      </c>
      <c r="F18" s="5">
        <f t="shared" si="2"/>
        <v>1.9142568949471115E-3</v>
      </c>
    </row>
    <row r="19" spans="1:6" x14ac:dyDescent="0.35">
      <c r="A19" s="10">
        <v>44952</v>
      </c>
      <c r="B19" s="9">
        <v>-3.1426163810965176E-3</v>
      </c>
      <c r="D19" s="6" t="str">
        <f t="shared" si="0"/>
        <v>01/26/2023</v>
      </c>
      <c r="E19" s="6" t="str">
        <f t="shared" si="1"/>
        <v>RGUSHSBT Index</v>
      </c>
      <c r="F19" s="5">
        <f t="shared" si="2"/>
        <v>-3.1426163810965176E-3</v>
      </c>
    </row>
    <row r="20" spans="1:6" x14ac:dyDescent="0.35">
      <c r="A20" s="8">
        <v>44953</v>
      </c>
      <c r="B20" s="7">
        <v>7.9538448233053005E-3</v>
      </c>
      <c r="D20" s="6" t="str">
        <f t="shared" si="0"/>
        <v>01/27/2023</v>
      </c>
      <c r="E20" s="6" t="str">
        <f t="shared" si="1"/>
        <v>RGUSHSBT Index</v>
      </c>
      <c r="F20" s="5">
        <f t="shared" si="2"/>
        <v>7.9538448233053005E-3</v>
      </c>
    </row>
    <row r="21" spans="1:6" x14ac:dyDescent="0.35">
      <c r="A21" s="10">
        <v>44956</v>
      </c>
      <c r="B21" s="9">
        <v>-2.4647516980630783E-2</v>
      </c>
      <c r="D21" s="6" t="str">
        <f t="shared" si="0"/>
        <v>01/30/2023</v>
      </c>
      <c r="E21" s="6" t="str">
        <f t="shared" si="1"/>
        <v>RGUSHSBT Index</v>
      </c>
      <c r="F21" s="5">
        <f t="shared" si="2"/>
        <v>-2.4647516980630783E-2</v>
      </c>
    </row>
    <row r="22" spans="1:6" x14ac:dyDescent="0.35">
      <c r="A22" s="8">
        <v>44957</v>
      </c>
      <c r="B22" s="7">
        <v>2.2827046247187073E-2</v>
      </c>
      <c r="D22" s="6" t="str">
        <f t="shared" si="0"/>
        <v>01/31/2023</v>
      </c>
      <c r="E22" s="6" t="str">
        <f t="shared" si="1"/>
        <v>RGUSHSBT Index</v>
      </c>
      <c r="F22" s="5">
        <f t="shared" si="2"/>
        <v>2.2827046247187073E-2</v>
      </c>
    </row>
    <row r="23" spans="1:6" x14ac:dyDescent="0.35">
      <c r="A23" s="10">
        <v>44958</v>
      </c>
      <c r="B23" s="9">
        <v>9.9380467382287879E-3</v>
      </c>
      <c r="D23" s="6" t="str">
        <f t="shared" si="0"/>
        <v>02/01/2023</v>
      </c>
      <c r="E23" s="6" t="str">
        <f t="shared" si="1"/>
        <v>RGUSHSBT Index</v>
      </c>
      <c r="F23" s="5">
        <f t="shared" si="2"/>
        <v>9.9380467382287879E-3</v>
      </c>
    </row>
    <row r="24" spans="1:6" x14ac:dyDescent="0.35">
      <c r="A24" s="8">
        <v>44959</v>
      </c>
      <c r="B24" s="7">
        <v>2.6114308476299041E-2</v>
      </c>
      <c r="D24" s="6" t="str">
        <f t="shared" si="0"/>
        <v>02/02/2023</v>
      </c>
      <c r="E24" s="6" t="str">
        <f t="shared" si="1"/>
        <v>RGUSHSBT Index</v>
      </c>
      <c r="F24" s="5">
        <f t="shared" si="2"/>
        <v>2.6114308476299041E-2</v>
      </c>
    </row>
    <row r="25" spans="1:6" x14ac:dyDescent="0.35">
      <c r="A25" s="10">
        <v>44960</v>
      </c>
      <c r="B25" s="9">
        <v>-1.5672478923541101E-2</v>
      </c>
      <c r="D25" s="6" t="str">
        <f t="shared" si="0"/>
        <v>02/03/2023</v>
      </c>
      <c r="E25" s="6" t="str">
        <f t="shared" si="1"/>
        <v>RGUSHSBT Index</v>
      </c>
      <c r="F25" s="5">
        <f t="shared" si="2"/>
        <v>-1.5672478923541101E-2</v>
      </c>
    </row>
    <row r="26" spans="1:6" x14ac:dyDescent="0.35">
      <c r="A26" s="8">
        <v>44963</v>
      </c>
      <c r="B26" s="7">
        <v>-9.7370718612222965E-3</v>
      </c>
      <c r="D26" s="6" t="str">
        <f t="shared" si="0"/>
        <v>02/06/2023</v>
      </c>
      <c r="E26" s="6" t="str">
        <f t="shared" si="1"/>
        <v>RGUSHSBT Index</v>
      </c>
      <c r="F26" s="5">
        <f t="shared" si="2"/>
        <v>-9.7370718612222965E-3</v>
      </c>
    </row>
    <row r="27" spans="1:6" x14ac:dyDescent="0.35">
      <c r="A27" s="10">
        <v>44964</v>
      </c>
      <c r="B27" s="9">
        <v>3.9468588551637082E-3</v>
      </c>
      <c r="D27" s="6" t="str">
        <f t="shared" si="0"/>
        <v>02/07/2023</v>
      </c>
      <c r="E27" s="6" t="str">
        <f t="shared" si="1"/>
        <v>RGUSHSBT Index</v>
      </c>
      <c r="F27" s="5">
        <f t="shared" si="2"/>
        <v>3.9468588551637082E-3</v>
      </c>
    </row>
    <row r="28" spans="1:6" x14ac:dyDescent="0.35">
      <c r="A28" s="8">
        <v>44965</v>
      </c>
      <c r="B28" s="7">
        <v>-3.3464286886770694E-2</v>
      </c>
      <c r="D28" s="6" t="str">
        <f t="shared" si="0"/>
        <v>02/08/2023</v>
      </c>
      <c r="E28" s="6" t="str">
        <f t="shared" si="1"/>
        <v>RGUSHSBT Index</v>
      </c>
      <c r="F28" s="5">
        <f t="shared" si="2"/>
        <v>-3.3464286886770694E-2</v>
      </c>
    </row>
    <row r="29" spans="1:6" x14ac:dyDescent="0.35">
      <c r="A29" s="10">
        <v>44966</v>
      </c>
      <c r="B29" s="9">
        <v>-1.3634613860489361E-2</v>
      </c>
      <c r="D29" s="6" t="str">
        <f t="shared" si="0"/>
        <v>02/09/2023</v>
      </c>
      <c r="E29" s="6" t="str">
        <f t="shared" si="1"/>
        <v>RGUSHSBT Index</v>
      </c>
      <c r="F29" s="5">
        <f t="shared" si="2"/>
        <v>-1.3634613860489361E-2</v>
      </c>
    </row>
    <row r="30" spans="1:6" x14ac:dyDescent="0.35">
      <c r="A30" s="8">
        <v>44967</v>
      </c>
      <c r="B30" s="7">
        <v>-7.0191548891599224E-3</v>
      </c>
      <c r="D30" s="6" t="str">
        <f t="shared" si="0"/>
        <v>02/10/2023</v>
      </c>
      <c r="E30" s="6" t="str">
        <f t="shared" si="1"/>
        <v>RGUSHSBT Index</v>
      </c>
      <c r="F30" s="5">
        <f t="shared" si="2"/>
        <v>-7.0191548891599224E-3</v>
      </c>
    </row>
    <row r="31" spans="1:6" x14ac:dyDescent="0.35">
      <c r="A31" s="10">
        <v>44970</v>
      </c>
      <c r="B31" s="9">
        <v>4.147051258709504E-3</v>
      </c>
      <c r="D31" s="6" t="str">
        <f t="shared" si="0"/>
        <v>02/13/2023</v>
      </c>
      <c r="E31" s="6" t="str">
        <f t="shared" si="1"/>
        <v>RGUSHSBT Index</v>
      </c>
      <c r="F31" s="5">
        <f t="shared" si="2"/>
        <v>4.147051258709504E-3</v>
      </c>
    </row>
    <row r="32" spans="1:6" x14ac:dyDescent="0.35">
      <c r="A32" s="8">
        <v>44971</v>
      </c>
      <c r="B32" s="7">
        <v>-1.3238781571617099E-4</v>
      </c>
      <c r="D32" s="6" t="str">
        <f t="shared" si="0"/>
        <v>02/14/2023</v>
      </c>
      <c r="E32" s="6" t="str">
        <f t="shared" si="1"/>
        <v>RGUSHSBT Index</v>
      </c>
      <c r="F32" s="5">
        <f t="shared" si="2"/>
        <v>-1.3238781571617099E-4</v>
      </c>
    </row>
    <row r="33" spans="1:6" x14ac:dyDescent="0.35">
      <c r="A33" s="10">
        <v>44972</v>
      </c>
      <c r="B33" s="9">
        <v>4.5708627647387612E-3</v>
      </c>
      <c r="D33" s="6" t="str">
        <f t="shared" si="0"/>
        <v>02/15/2023</v>
      </c>
      <c r="E33" s="6" t="str">
        <f t="shared" si="1"/>
        <v>RGUSHSBT Index</v>
      </c>
      <c r="F33" s="5">
        <f t="shared" si="2"/>
        <v>4.5708627647387612E-3</v>
      </c>
    </row>
    <row r="34" spans="1:6" x14ac:dyDescent="0.35">
      <c r="A34" s="8">
        <v>44973</v>
      </c>
      <c r="B34" s="7">
        <v>-1.7028360543944757E-2</v>
      </c>
      <c r="D34" s="6" t="str">
        <f t="shared" si="0"/>
        <v>02/16/2023</v>
      </c>
      <c r="E34" s="6" t="str">
        <f t="shared" si="1"/>
        <v>RGUSHSBT Index</v>
      </c>
      <c r="F34" s="5">
        <f t="shared" si="2"/>
        <v>-1.7028360543944757E-2</v>
      </c>
    </row>
    <row r="35" spans="1:6" x14ac:dyDescent="0.35">
      <c r="A35" s="10">
        <v>44974</v>
      </c>
      <c r="B35" s="9">
        <v>2.6546144585688262E-2</v>
      </c>
      <c r="D35" s="6" t="str">
        <f t="shared" si="0"/>
        <v>02/17/2023</v>
      </c>
      <c r="E35" s="6" t="str">
        <f t="shared" si="1"/>
        <v>RGUSHSBT Index</v>
      </c>
      <c r="F35" s="5">
        <f t="shared" si="2"/>
        <v>2.6546144585688262E-2</v>
      </c>
    </row>
    <row r="36" spans="1:6" x14ac:dyDescent="0.35">
      <c r="A36" s="8">
        <v>44978</v>
      </c>
      <c r="B36" s="7">
        <v>-4.8260783144504091E-2</v>
      </c>
      <c r="D36" s="6" t="str">
        <f t="shared" si="0"/>
        <v>02/21/2023</v>
      </c>
      <c r="E36" s="6" t="str">
        <f t="shared" si="1"/>
        <v>RGUSHSBT Index</v>
      </c>
      <c r="F36" s="5">
        <f t="shared" si="2"/>
        <v>-4.8260783144504091E-2</v>
      </c>
    </row>
    <row r="37" spans="1:6" x14ac:dyDescent="0.35">
      <c r="A37" s="10">
        <v>44979</v>
      </c>
      <c r="B37" s="9">
        <v>1.2280188797460517E-2</v>
      </c>
      <c r="D37" s="6" t="str">
        <f t="shared" si="0"/>
        <v>02/22/2023</v>
      </c>
      <c r="E37" s="6" t="str">
        <f t="shared" si="1"/>
        <v>RGUSHSBT Index</v>
      </c>
      <c r="F37" s="5">
        <f t="shared" si="2"/>
        <v>1.2280188797460517E-2</v>
      </c>
    </row>
    <row r="38" spans="1:6" x14ac:dyDescent="0.35">
      <c r="A38" s="8">
        <v>44980</v>
      </c>
      <c r="B38" s="7">
        <v>-1.0964072032775072E-3</v>
      </c>
      <c r="D38" s="6" t="str">
        <f t="shared" si="0"/>
        <v>02/23/2023</v>
      </c>
      <c r="E38" s="6" t="str">
        <f t="shared" si="1"/>
        <v>RGUSHSBT Index</v>
      </c>
      <c r="F38" s="5">
        <f t="shared" si="2"/>
        <v>-1.0964072032775072E-3</v>
      </c>
    </row>
    <row r="39" spans="1:6" x14ac:dyDescent="0.35">
      <c r="A39" s="10">
        <v>44981</v>
      </c>
      <c r="B39" s="9">
        <v>-2.6283643831251195E-2</v>
      </c>
      <c r="D39" s="6" t="str">
        <f t="shared" si="0"/>
        <v>02/24/2023</v>
      </c>
      <c r="E39" s="6" t="str">
        <f t="shared" si="1"/>
        <v>RGUSHSBT Index</v>
      </c>
      <c r="F39" s="5">
        <f t="shared" si="2"/>
        <v>-2.6283643831251195E-2</v>
      </c>
    </row>
    <row r="40" spans="1:6" x14ac:dyDescent="0.35">
      <c r="A40" s="8">
        <v>44984</v>
      </c>
      <c r="B40" s="7">
        <v>5.6907366443441718E-3</v>
      </c>
      <c r="D40" s="6" t="str">
        <f t="shared" si="0"/>
        <v>02/27/2023</v>
      </c>
      <c r="E40" s="6" t="str">
        <f t="shared" si="1"/>
        <v>RGUSHSBT Index</v>
      </c>
      <c r="F40" s="5">
        <f t="shared" si="2"/>
        <v>5.6907366443441718E-3</v>
      </c>
    </row>
    <row r="41" spans="1:6" x14ac:dyDescent="0.35">
      <c r="A41" s="10">
        <v>44985</v>
      </c>
      <c r="B41" s="9">
        <v>9.7653425251891766E-3</v>
      </c>
      <c r="D41" s="6" t="str">
        <f t="shared" si="0"/>
        <v>02/28/2023</v>
      </c>
      <c r="E41" s="6" t="str">
        <f t="shared" si="1"/>
        <v>RGUSHSBT Index</v>
      </c>
      <c r="F41" s="5">
        <f t="shared" si="2"/>
        <v>9.7653425251891766E-3</v>
      </c>
    </row>
    <row r="42" spans="1:6" x14ac:dyDescent="0.35">
      <c r="A42" s="8">
        <v>44986</v>
      </c>
      <c r="B42" s="7">
        <v>8.1013579845373249E-3</v>
      </c>
      <c r="D42" s="6" t="str">
        <f t="shared" si="0"/>
        <v>03/01/2023</v>
      </c>
      <c r="E42" s="6" t="str">
        <f t="shared" si="1"/>
        <v>RGUSHSBT Index</v>
      </c>
      <c r="F42" s="5">
        <f t="shared" si="2"/>
        <v>8.1013579845373249E-3</v>
      </c>
    </row>
    <row r="43" spans="1:6" x14ac:dyDescent="0.35">
      <c r="A43" s="10">
        <v>44987</v>
      </c>
      <c r="B43" s="9">
        <v>-7.8320171440073045E-3</v>
      </c>
      <c r="D43" s="6" t="str">
        <f t="shared" si="0"/>
        <v>03/02/2023</v>
      </c>
      <c r="E43" s="6" t="str">
        <f t="shared" si="1"/>
        <v>RGUSHSBT Index</v>
      </c>
      <c r="F43" s="5">
        <f t="shared" si="2"/>
        <v>-7.8320171440073045E-3</v>
      </c>
    </row>
    <row r="44" spans="1:6" x14ac:dyDescent="0.35">
      <c r="A44" s="8">
        <v>44988</v>
      </c>
      <c r="B44" s="7">
        <v>1.5250687653267588E-2</v>
      </c>
      <c r="D44" s="6" t="str">
        <f t="shared" si="0"/>
        <v>03/03/2023</v>
      </c>
      <c r="E44" s="6" t="str">
        <f t="shared" si="1"/>
        <v>RGUSHSBT Index</v>
      </c>
      <c r="F44" s="5">
        <f t="shared" si="2"/>
        <v>1.5250687653267588E-2</v>
      </c>
    </row>
    <row r="45" spans="1:6" x14ac:dyDescent="0.35">
      <c r="A45" s="10">
        <v>44991</v>
      </c>
      <c r="B45" s="9">
        <v>-2.0122829185154716E-2</v>
      </c>
      <c r="D45" s="6" t="str">
        <f t="shared" si="0"/>
        <v>03/06/2023</v>
      </c>
      <c r="E45" s="6" t="str">
        <f t="shared" si="1"/>
        <v>RGUSHSBT Index</v>
      </c>
      <c r="F45" s="5">
        <f t="shared" si="2"/>
        <v>-2.0122829185154716E-2</v>
      </c>
    </row>
    <row r="46" spans="1:6" x14ac:dyDescent="0.35">
      <c r="A46" s="8">
        <v>44992</v>
      </c>
      <c r="B46" s="7">
        <v>-4.201378267988486E-3</v>
      </c>
      <c r="D46" s="6" t="str">
        <f t="shared" si="0"/>
        <v>03/07/2023</v>
      </c>
      <c r="E46" s="6" t="str">
        <f t="shared" si="1"/>
        <v>RGUSHSBT Index</v>
      </c>
      <c r="F46" s="5">
        <f t="shared" si="2"/>
        <v>-4.201378267988486E-3</v>
      </c>
    </row>
    <row r="47" spans="1:6" x14ac:dyDescent="0.35">
      <c r="A47" s="10">
        <v>44993</v>
      </c>
      <c r="B47" s="9">
        <v>-6.2217484136951667E-3</v>
      </c>
      <c r="D47" s="6" t="str">
        <f t="shared" si="0"/>
        <v>03/08/2023</v>
      </c>
      <c r="E47" s="6" t="str">
        <f t="shared" si="1"/>
        <v>RGUSHSBT Index</v>
      </c>
      <c r="F47" s="5">
        <f t="shared" si="2"/>
        <v>-6.2217484136951667E-3</v>
      </c>
    </row>
    <row r="48" spans="1:6" x14ac:dyDescent="0.35">
      <c r="A48" s="8">
        <v>44994</v>
      </c>
      <c r="B48" s="7">
        <v>-3.8509674389005877E-2</v>
      </c>
      <c r="D48" s="6" t="str">
        <f t="shared" si="0"/>
        <v>03/09/2023</v>
      </c>
      <c r="E48" s="6" t="str">
        <f t="shared" si="1"/>
        <v>RGUSHSBT Index</v>
      </c>
      <c r="F48" s="5">
        <f t="shared" si="2"/>
        <v>-3.8509674389005877E-2</v>
      </c>
    </row>
    <row r="49" spans="1:6" x14ac:dyDescent="0.35">
      <c r="A49" s="10">
        <v>44995</v>
      </c>
      <c r="B49" s="9">
        <v>-4.5444660512406768E-2</v>
      </c>
      <c r="D49" s="6" t="str">
        <f t="shared" si="0"/>
        <v>03/10/2023</v>
      </c>
      <c r="E49" s="6" t="str">
        <f t="shared" si="1"/>
        <v>RGUSHSBT Index</v>
      </c>
      <c r="F49" s="5">
        <f t="shared" si="2"/>
        <v>-4.5444660512406768E-2</v>
      </c>
    </row>
    <row r="50" spans="1:6" x14ac:dyDescent="0.35">
      <c r="A50" s="8">
        <v>44998</v>
      </c>
      <c r="B50" s="7">
        <v>3.4860071054056682E-2</v>
      </c>
      <c r="D50" s="6" t="str">
        <f t="shared" si="0"/>
        <v>03/13/2023</v>
      </c>
      <c r="E50" s="6" t="str">
        <f t="shared" si="1"/>
        <v>RGUSHSBT Index</v>
      </c>
      <c r="F50" s="5">
        <f t="shared" si="2"/>
        <v>3.4860071054056682E-2</v>
      </c>
    </row>
    <row r="51" spans="1:6" x14ac:dyDescent="0.35">
      <c r="A51" s="10">
        <v>44999</v>
      </c>
      <c r="B51" s="9">
        <v>1.7011990071021454E-2</v>
      </c>
      <c r="D51" s="6" t="str">
        <f t="shared" si="0"/>
        <v>03/14/2023</v>
      </c>
      <c r="E51" s="6" t="str">
        <f t="shared" si="1"/>
        <v>RGUSHSBT Index</v>
      </c>
      <c r="F51" s="5">
        <f t="shared" si="2"/>
        <v>1.7011990071021454E-2</v>
      </c>
    </row>
    <row r="52" spans="1:6" x14ac:dyDescent="0.35">
      <c r="A52" s="8">
        <v>45000</v>
      </c>
      <c r="B52" s="7">
        <v>-1.1990287302593128E-2</v>
      </c>
      <c r="D52" s="6" t="str">
        <f t="shared" si="0"/>
        <v>03/15/2023</v>
      </c>
      <c r="E52" s="6" t="str">
        <f t="shared" si="1"/>
        <v>RGUSHSBT Index</v>
      </c>
      <c r="F52" s="5">
        <f t="shared" si="2"/>
        <v>-1.1990287302593128E-2</v>
      </c>
    </row>
    <row r="53" spans="1:6" x14ac:dyDescent="0.35">
      <c r="A53" s="10">
        <v>45001</v>
      </c>
      <c r="B53" s="9">
        <v>1.7400360708207442E-3</v>
      </c>
      <c r="D53" s="6" t="str">
        <f t="shared" si="0"/>
        <v>03/16/2023</v>
      </c>
      <c r="E53" s="6" t="str">
        <f t="shared" si="1"/>
        <v>RGUSHSBT Index</v>
      </c>
      <c r="F53" s="5">
        <f t="shared" si="2"/>
        <v>1.7400360708207442E-3</v>
      </c>
    </row>
    <row r="54" spans="1:6" x14ac:dyDescent="0.35">
      <c r="A54" s="8">
        <v>45002</v>
      </c>
      <c r="B54" s="7">
        <v>-2.1760216048991417E-2</v>
      </c>
      <c r="D54" s="6" t="str">
        <f t="shared" si="0"/>
        <v>03/17/2023</v>
      </c>
      <c r="E54" s="6" t="str">
        <f t="shared" si="1"/>
        <v>RGUSHSBT Index</v>
      </c>
      <c r="F54" s="5">
        <f t="shared" si="2"/>
        <v>-2.1760216048991417E-2</v>
      </c>
    </row>
    <row r="55" spans="1:6" x14ac:dyDescent="0.35">
      <c r="A55" s="10">
        <v>45005</v>
      </c>
      <c r="B55" s="9">
        <v>2.0964360587001447E-3</v>
      </c>
      <c r="D55" s="6" t="str">
        <f t="shared" si="0"/>
        <v>03/20/2023</v>
      </c>
      <c r="E55" s="6" t="str">
        <f t="shared" si="1"/>
        <v>RGUSHSBT Index</v>
      </c>
      <c r="F55" s="5">
        <f t="shared" si="2"/>
        <v>2.0964360587001447E-3</v>
      </c>
    </row>
    <row r="56" spans="1:6" x14ac:dyDescent="0.35">
      <c r="A56" s="8">
        <v>45006</v>
      </c>
      <c r="B56" s="7">
        <v>-4.6400186247437187E-3</v>
      </c>
      <c r="D56" s="6" t="str">
        <f t="shared" si="0"/>
        <v>03/21/2023</v>
      </c>
      <c r="E56" s="6" t="str">
        <f t="shared" si="1"/>
        <v>RGUSHSBT Index</v>
      </c>
      <c r="F56" s="5">
        <f t="shared" si="2"/>
        <v>-4.6400186247437187E-3</v>
      </c>
    </row>
    <row r="57" spans="1:6" x14ac:dyDescent="0.35">
      <c r="A57" s="10">
        <v>45007</v>
      </c>
      <c r="B57" s="9">
        <v>-3.9070139134784992E-2</v>
      </c>
      <c r="D57" s="6" t="str">
        <f t="shared" si="0"/>
        <v>03/22/2023</v>
      </c>
      <c r="E57" s="6" t="str">
        <f t="shared" si="1"/>
        <v>RGUSHSBT Index</v>
      </c>
      <c r="F57" s="5">
        <f t="shared" si="2"/>
        <v>-3.9070139134784992E-2</v>
      </c>
    </row>
    <row r="58" spans="1:6" x14ac:dyDescent="0.35">
      <c r="A58" s="8">
        <v>45008</v>
      </c>
      <c r="B58" s="7">
        <v>9.584048897242738E-3</v>
      </c>
      <c r="D58" s="6" t="str">
        <f t="shared" si="0"/>
        <v>03/23/2023</v>
      </c>
      <c r="E58" s="6" t="str">
        <f t="shared" si="1"/>
        <v>RGUSHSBT Index</v>
      </c>
      <c r="F58" s="5">
        <f t="shared" si="2"/>
        <v>9.584048897242738E-3</v>
      </c>
    </row>
    <row r="59" spans="1:6" x14ac:dyDescent="0.35">
      <c r="A59" s="10">
        <v>45009</v>
      </c>
      <c r="B59" s="9">
        <v>4.1320791993008773E-3</v>
      </c>
      <c r="D59" s="6" t="str">
        <f t="shared" si="0"/>
        <v>03/24/2023</v>
      </c>
      <c r="E59" s="6" t="str">
        <f t="shared" si="1"/>
        <v>RGUSHSBT Index</v>
      </c>
      <c r="F59" s="5">
        <f t="shared" si="2"/>
        <v>4.1320791993008773E-3</v>
      </c>
    </row>
    <row r="60" spans="1:6" x14ac:dyDescent="0.35">
      <c r="A60" s="8">
        <v>45012</v>
      </c>
      <c r="B60" s="7">
        <v>1.379584023903449E-2</v>
      </c>
      <c r="D60" s="6" t="str">
        <f t="shared" si="0"/>
        <v>03/27/2023</v>
      </c>
      <c r="E60" s="6" t="str">
        <f t="shared" si="1"/>
        <v>RGUSHSBT Index</v>
      </c>
      <c r="F60" s="5">
        <f t="shared" si="2"/>
        <v>1.379584023903449E-2</v>
      </c>
    </row>
    <row r="61" spans="1:6" x14ac:dyDescent="0.35">
      <c r="A61" s="10">
        <v>45013</v>
      </c>
      <c r="B61" s="9">
        <v>-8.7003716982993386E-3</v>
      </c>
      <c r="D61" s="6" t="str">
        <f t="shared" si="0"/>
        <v>03/28/2023</v>
      </c>
      <c r="E61" s="6" t="str">
        <f t="shared" si="1"/>
        <v>RGUSHSBT Index</v>
      </c>
      <c r="F61" s="5">
        <f t="shared" si="2"/>
        <v>-8.7003716982993386E-3</v>
      </c>
    </row>
    <row r="62" spans="1:6" x14ac:dyDescent="0.35">
      <c r="A62" s="8">
        <v>45014</v>
      </c>
      <c r="B62" s="7">
        <v>2.6084648184095741E-2</v>
      </c>
      <c r="D62" s="6" t="str">
        <f t="shared" si="0"/>
        <v>03/29/2023</v>
      </c>
      <c r="E62" s="6" t="str">
        <f t="shared" si="1"/>
        <v>RGUSHSBT Index</v>
      </c>
      <c r="F62" s="5">
        <f t="shared" si="2"/>
        <v>2.6084648184095741E-2</v>
      </c>
    </row>
    <row r="63" spans="1:6" x14ac:dyDescent="0.35">
      <c r="A63" s="10">
        <v>45015</v>
      </c>
      <c r="B63" s="9">
        <v>-2.2692141023070531E-2</v>
      </c>
      <c r="D63" s="6" t="str">
        <f t="shared" si="0"/>
        <v>03/30/2023</v>
      </c>
      <c r="E63" s="6" t="str">
        <f t="shared" si="1"/>
        <v>RGUSHSBT Index</v>
      </c>
      <c r="F63" s="5">
        <f t="shared" si="2"/>
        <v>-2.2692141023070531E-2</v>
      </c>
    </row>
    <row r="64" spans="1:6" x14ac:dyDescent="0.35">
      <c r="A64" s="8">
        <v>45016</v>
      </c>
      <c r="B64" s="7">
        <v>2.0634726298687227E-2</v>
      </c>
      <c r="D64" s="6" t="str">
        <f t="shared" si="0"/>
        <v>03/31/2023</v>
      </c>
      <c r="E64" s="6" t="str">
        <f t="shared" si="1"/>
        <v>RGUSHSBT Index</v>
      </c>
      <c r="F64" s="5">
        <f t="shared" si="2"/>
        <v>2.0634726298687227E-2</v>
      </c>
    </row>
    <row r="65" spans="1:6" x14ac:dyDescent="0.35">
      <c r="A65" s="10">
        <v>45019</v>
      </c>
      <c r="B65" s="9">
        <v>1.7899463437565866E-2</v>
      </c>
      <c r="D65" s="6" t="str">
        <f t="shared" si="0"/>
        <v>04/03/2023</v>
      </c>
      <c r="E65" s="6" t="str">
        <f t="shared" si="1"/>
        <v>RGUSHSBT Index</v>
      </c>
      <c r="F65" s="5">
        <f t="shared" si="2"/>
        <v>1.7899463437565866E-2</v>
      </c>
    </row>
    <row r="66" spans="1:6" x14ac:dyDescent="0.35">
      <c r="A66" s="8">
        <v>45020</v>
      </c>
      <c r="B66" s="7">
        <v>-1.9288712790556922E-2</v>
      </c>
      <c r="D66" s="6" t="str">
        <f t="shared" si="0"/>
        <v>04/04/2023</v>
      </c>
      <c r="E66" s="6" t="str">
        <f t="shared" si="1"/>
        <v>RGUSHSBT Index</v>
      </c>
      <c r="F66" s="5">
        <f t="shared" si="2"/>
        <v>-1.9288712790556922E-2</v>
      </c>
    </row>
    <row r="67" spans="1:6" x14ac:dyDescent="0.35">
      <c r="A67" s="10">
        <v>45021</v>
      </c>
      <c r="B67" s="9">
        <v>-1.1211068169270236E-2</v>
      </c>
      <c r="D67" s="6" t="str">
        <f t="shared" ref="D67:D130" si="3">IF(A67 =  "", "",  TEXT(A67, "mm/dd/yyyy"))</f>
        <v>04/05/2023</v>
      </c>
      <c r="E67" s="6" t="str">
        <f t="shared" ref="E67:E130" si="4">IF(A67="", "", EntityLocal)</f>
        <v>RGUSHSBT Index</v>
      </c>
      <c r="F67" s="5">
        <f t="shared" ref="F67:F130" si="5">IF(B67="","", B67)</f>
        <v>-1.1211068169270236E-2</v>
      </c>
    </row>
    <row r="68" spans="1:6" x14ac:dyDescent="0.35">
      <c r="A68" s="8">
        <v>45022</v>
      </c>
      <c r="B68" s="7">
        <v>1.8518153571264382E-2</v>
      </c>
      <c r="D68" s="6" t="str">
        <f t="shared" si="3"/>
        <v>04/06/2023</v>
      </c>
      <c r="E68" s="6" t="str">
        <f t="shared" si="4"/>
        <v>RGUSHSBT Index</v>
      </c>
      <c r="F68" s="5">
        <f t="shared" si="5"/>
        <v>1.8518153571264382E-2</v>
      </c>
    </row>
    <row r="69" spans="1:6" x14ac:dyDescent="0.35">
      <c r="A69" s="10">
        <v>45026</v>
      </c>
      <c r="B69" s="9">
        <v>-7.8653062277487858E-3</v>
      </c>
      <c r="D69" s="6" t="str">
        <f t="shared" si="3"/>
        <v>04/10/2023</v>
      </c>
      <c r="E69" s="6" t="str">
        <f t="shared" si="4"/>
        <v>RGUSHSBT Index</v>
      </c>
      <c r="F69" s="5">
        <f t="shared" si="5"/>
        <v>-7.8653062277487858E-3</v>
      </c>
    </row>
    <row r="70" spans="1:6" x14ac:dyDescent="0.35">
      <c r="A70" s="8">
        <v>45027</v>
      </c>
      <c r="B70" s="7">
        <v>7.3588444273980022E-3</v>
      </c>
      <c r="D70" s="6" t="str">
        <f t="shared" si="3"/>
        <v>04/11/2023</v>
      </c>
      <c r="E70" s="6" t="str">
        <f t="shared" si="4"/>
        <v>RGUSHSBT Index</v>
      </c>
      <c r="F70" s="5">
        <f t="shared" si="5"/>
        <v>7.3588444273980022E-3</v>
      </c>
    </row>
    <row r="71" spans="1:6" x14ac:dyDescent="0.35">
      <c r="A71" s="10">
        <v>45028</v>
      </c>
      <c r="B71" s="9">
        <v>-1.1519064535801E-2</v>
      </c>
      <c r="D71" s="6" t="str">
        <f t="shared" si="3"/>
        <v>04/12/2023</v>
      </c>
      <c r="E71" s="6" t="str">
        <f t="shared" si="4"/>
        <v>RGUSHSBT Index</v>
      </c>
      <c r="F71" s="5">
        <f t="shared" si="5"/>
        <v>-1.1519064535801E-2</v>
      </c>
    </row>
    <row r="72" spans="1:6" x14ac:dyDescent="0.35">
      <c r="A72" s="8">
        <v>45029</v>
      </c>
      <c r="B72" s="7">
        <v>4.2363171656041518E-2</v>
      </c>
      <c r="D72" s="6" t="str">
        <f t="shared" si="3"/>
        <v>04/13/2023</v>
      </c>
      <c r="E72" s="6" t="str">
        <f t="shared" si="4"/>
        <v>RGUSHSBT Index</v>
      </c>
      <c r="F72" s="5">
        <f t="shared" si="5"/>
        <v>4.2363171656041518E-2</v>
      </c>
    </row>
    <row r="73" spans="1:6" x14ac:dyDescent="0.35">
      <c r="A73" s="10">
        <v>45030</v>
      </c>
      <c r="B73" s="9">
        <v>-1.6080593995534357E-2</v>
      </c>
      <c r="D73" s="6" t="str">
        <f t="shared" si="3"/>
        <v>04/14/2023</v>
      </c>
      <c r="E73" s="6" t="str">
        <f t="shared" si="4"/>
        <v>RGUSHSBT Index</v>
      </c>
      <c r="F73" s="5">
        <f t="shared" si="5"/>
        <v>-1.6080593995534357E-2</v>
      </c>
    </row>
    <row r="74" spans="1:6" x14ac:dyDescent="0.35">
      <c r="A74" s="8">
        <v>45033</v>
      </c>
      <c r="B74" s="7">
        <v>5.6353717766730094E-2</v>
      </c>
      <c r="D74" s="6" t="str">
        <f t="shared" si="3"/>
        <v>04/17/2023</v>
      </c>
      <c r="E74" s="6" t="str">
        <f t="shared" si="4"/>
        <v>RGUSHSBT Index</v>
      </c>
      <c r="F74" s="5">
        <f t="shared" si="5"/>
        <v>5.6353717766730094E-2</v>
      </c>
    </row>
    <row r="75" spans="1:6" x14ac:dyDescent="0.35">
      <c r="A75" s="10">
        <v>45034</v>
      </c>
      <c r="B75" s="9">
        <v>-3.3835492618258566E-3</v>
      </c>
      <c r="D75" s="6" t="str">
        <f t="shared" si="3"/>
        <v>04/18/2023</v>
      </c>
      <c r="E75" s="6" t="str">
        <f t="shared" si="4"/>
        <v>RGUSHSBT Index</v>
      </c>
      <c r="F75" s="5">
        <f t="shared" si="5"/>
        <v>-3.3835492618258566E-3</v>
      </c>
    </row>
    <row r="76" spans="1:6" x14ac:dyDescent="0.35">
      <c r="A76" s="8">
        <v>45035</v>
      </c>
      <c r="B76" s="7">
        <v>1.184786124791024E-2</v>
      </c>
      <c r="D76" s="6" t="str">
        <f t="shared" si="3"/>
        <v>04/19/2023</v>
      </c>
      <c r="E76" s="6" t="str">
        <f t="shared" si="4"/>
        <v>RGUSHSBT Index</v>
      </c>
      <c r="F76" s="5">
        <f t="shared" si="5"/>
        <v>1.184786124791024E-2</v>
      </c>
    </row>
    <row r="77" spans="1:6" x14ac:dyDescent="0.35">
      <c r="A77" s="10">
        <v>45036</v>
      </c>
      <c r="B77" s="9">
        <v>-1.4595334273489946E-2</v>
      </c>
      <c r="D77" s="6" t="str">
        <f t="shared" si="3"/>
        <v>04/20/2023</v>
      </c>
      <c r="E77" s="6" t="str">
        <f t="shared" si="4"/>
        <v>RGUSHSBT Index</v>
      </c>
      <c r="F77" s="5">
        <f t="shared" si="5"/>
        <v>-1.4595334273489946E-2</v>
      </c>
    </row>
    <row r="78" spans="1:6" x14ac:dyDescent="0.35">
      <c r="A78" s="8">
        <v>45037</v>
      </c>
      <c r="B78" s="7">
        <v>2.1754883857724578E-2</v>
      </c>
      <c r="D78" s="6" t="str">
        <f t="shared" si="3"/>
        <v>04/21/2023</v>
      </c>
      <c r="E78" s="6" t="str">
        <f t="shared" si="4"/>
        <v>RGUSHSBT Index</v>
      </c>
      <c r="F78" s="5">
        <f t="shared" si="5"/>
        <v>2.1754883857724578E-2</v>
      </c>
    </row>
    <row r="79" spans="1:6" x14ac:dyDescent="0.35">
      <c r="A79" s="10">
        <v>45040</v>
      </c>
      <c r="B79" s="9">
        <v>-8.9825690088015473E-3</v>
      </c>
      <c r="D79" s="6" t="str">
        <f t="shared" si="3"/>
        <v>04/24/2023</v>
      </c>
      <c r="E79" s="6" t="str">
        <f t="shared" si="4"/>
        <v>RGUSHSBT Index</v>
      </c>
      <c r="F79" s="5">
        <f t="shared" si="5"/>
        <v>-8.9825690088015473E-3</v>
      </c>
    </row>
    <row r="80" spans="1:6" x14ac:dyDescent="0.35">
      <c r="A80" s="8">
        <v>45041</v>
      </c>
      <c r="B80" s="7">
        <v>-1.1821810461763275E-2</v>
      </c>
      <c r="D80" s="6" t="str">
        <f t="shared" si="3"/>
        <v>04/25/2023</v>
      </c>
      <c r="E80" s="6" t="str">
        <f t="shared" si="4"/>
        <v>RGUSHSBT Index</v>
      </c>
      <c r="F80" s="5">
        <f t="shared" si="5"/>
        <v>-1.1821810461763275E-2</v>
      </c>
    </row>
    <row r="81" spans="1:6" x14ac:dyDescent="0.35">
      <c r="A81" s="10">
        <v>45042</v>
      </c>
      <c r="B81" s="9">
        <v>-5.6846589962153441E-3</v>
      </c>
      <c r="D81" s="6" t="str">
        <f t="shared" si="3"/>
        <v>04/26/2023</v>
      </c>
      <c r="E81" s="6" t="str">
        <f t="shared" si="4"/>
        <v>RGUSHSBT Index</v>
      </c>
      <c r="F81" s="5">
        <f t="shared" si="5"/>
        <v>-5.6846589962153441E-3</v>
      </c>
    </row>
    <row r="82" spans="1:6" x14ac:dyDescent="0.35">
      <c r="A82" s="8">
        <v>45043</v>
      </c>
      <c r="B82" s="7">
        <v>-6.4028524844956386E-3</v>
      </c>
      <c r="D82" s="6" t="str">
        <f t="shared" si="3"/>
        <v>04/27/2023</v>
      </c>
      <c r="E82" s="6" t="str">
        <f t="shared" si="4"/>
        <v>RGUSHSBT Index</v>
      </c>
      <c r="F82" s="5">
        <f t="shared" si="5"/>
        <v>-6.4028524844956386E-3</v>
      </c>
    </row>
    <row r="83" spans="1:6" x14ac:dyDescent="0.35">
      <c r="A83" s="10">
        <v>45044</v>
      </c>
      <c r="B83" s="9">
        <v>1.7685272088187078E-2</v>
      </c>
      <c r="D83" s="6" t="str">
        <f t="shared" si="3"/>
        <v>04/28/2023</v>
      </c>
      <c r="E83" s="6" t="str">
        <f t="shared" si="4"/>
        <v>RGUSHSBT Index</v>
      </c>
      <c r="F83" s="5">
        <f t="shared" si="5"/>
        <v>1.7685272088187078E-2</v>
      </c>
    </row>
    <row r="84" spans="1:6" x14ac:dyDescent="0.35">
      <c r="A84" s="8">
        <v>45047</v>
      </c>
      <c r="B84" s="7">
        <v>2.8574442435201911E-2</v>
      </c>
      <c r="D84" s="6" t="str">
        <f t="shared" si="3"/>
        <v>05/01/2023</v>
      </c>
      <c r="E84" s="6" t="str">
        <f t="shared" si="4"/>
        <v>RGUSHSBT Index</v>
      </c>
      <c r="F84" s="5">
        <f t="shared" si="5"/>
        <v>2.8574442435201911E-2</v>
      </c>
    </row>
    <row r="85" spans="1:6" x14ac:dyDescent="0.35">
      <c r="A85" s="10">
        <v>45048</v>
      </c>
      <c r="B85" s="9">
        <v>-2.1908632475877644E-2</v>
      </c>
      <c r="D85" s="6" t="str">
        <f t="shared" si="3"/>
        <v>05/02/2023</v>
      </c>
      <c r="E85" s="6" t="str">
        <f t="shared" si="4"/>
        <v>RGUSHSBT Index</v>
      </c>
      <c r="F85" s="5">
        <f t="shared" si="5"/>
        <v>-2.1908632475877644E-2</v>
      </c>
    </row>
    <row r="86" spans="1:6" x14ac:dyDescent="0.35">
      <c r="A86" s="8">
        <v>45049</v>
      </c>
      <c r="B86" s="7">
        <v>4.4852668032737852E-2</v>
      </c>
      <c r="D86" s="6" t="str">
        <f t="shared" si="3"/>
        <v>05/03/2023</v>
      </c>
      <c r="E86" s="6" t="str">
        <f t="shared" si="4"/>
        <v>RGUSHSBT Index</v>
      </c>
      <c r="F86" s="5">
        <f t="shared" si="5"/>
        <v>4.4852668032737852E-2</v>
      </c>
    </row>
    <row r="87" spans="1:6" x14ac:dyDescent="0.35">
      <c r="A87" s="10">
        <v>45050</v>
      </c>
      <c r="B87" s="9">
        <v>3.2571048466636678E-3</v>
      </c>
      <c r="D87" s="6" t="str">
        <f t="shared" si="3"/>
        <v>05/04/2023</v>
      </c>
      <c r="E87" s="6" t="str">
        <f t="shared" si="4"/>
        <v>RGUSHSBT Index</v>
      </c>
      <c r="F87" s="5">
        <f t="shared" si="5"/>
        <v>3.2571048466636678E-3</v>
      </c>
    </row>
    <row r="88" spans="1:6" x14ac:dyDescent="0.35">
      <c r="A88" s="8">
        <v>45051</v>
      </c>
      <c r="B88" s="7">
        <v>2.1854066165207325E-2</v>
      </c>
      <c r="D88" s="6" t="str">
        <f t="shared" si="3"/>
        <v>05/05/2023</v>
      </c>
      <c r="E88" s="6" t="str">
        <f t="shared" si="4"/>
        <v>RGUSHSBT Index</v>
      </c>
      <c r="F88" s="5">
        <f t="shared" si="5"/>
        <v>2.1854066165207325E-2</v>
      </c>
    </row>
    <row r="89" spans="1:6" x14ac:dyDescent="0.35">
      <c r="A89" s="10">
        <v>45054</v>
      </c>
      <c r="B89" s="9">
        <v>-3.2246426463884842E-3</v>
      </c>
      <c r="D89" s="6" t="str">
        <f t="shared" si="3"/>
        <v>05/08/2023</v>
      </c>
      <c r="E89" s="6" t="str">
        <f t="shared" si="4"/>
        <v>RGUSHSBT Index</v>
      </c>
      <c r="F89" s="5">
        <f t="shared" si="5"/>
        <v>-3.2246426463884842E-3</v>
      </c>
    </row>
    <row r="90" spans="1:6" x14ac:dyDescent="0.35">
      <c r="A90" s="8">
        <v>45055</v>
      </c>
      <c r="B90" s="7">
        <v>6.9639680588991669E-3</v>
      </c>
      <c r="D90" s="6" t="str">
        <f t="shared" si="3"/>
        <v>05/09/2023</v>
      </c>
      <c r="E90" s="6" t="str">
        <f t="shared" si="4"/>
        <v>RGUSHSBT Index</v>
      </c>
      <c r="F90" s="5">
        <f t="shared" si="5"/>
        <v>6.9639680588991669E-3</v>
      </c>
    </row>
    <row r="91" spans="1:6" x14ac:dyDescent="0.35">
      <c r="A91" s="10">
        <v>45056</v>
      </c>
      <c r="B91" s="9">
        <v>1.1530059517175305E-2</v>
      </c>
      <c r="D91" s="6" t="str">
        <f t="shared" si="3"/>
        <v>05/10/2023</v>
      </c>
      <c r="E91" s="6" t="str">
        <f t="shared" si="4"/>
        <v>RGUSHSBT Index</v>
      </c>
      <c r="F91" s="5">
        <f t="shared" si="5"/>
        <v>1.1530059517175305E-2</v>
      </c>
    </row>
    <row r="92" spans="1:6" x14ac:dyDescent="0.35">
      <c r="A92" s="8">
        <v>45057</v>
      </c>
      <c r="B92" s="7">
        <v>-1.8293455565166216E-2</v>
      </c>
      <c r="D92" s="6" t="str">
        <f t="shared" si="3"/>
        <v>05/11/2023</v>
      </c>
      <c r="E92" s="6" t="str">
        <f t="shared" si="4"/>
        <v>RGUSHSBT Index</v>
      </c>
      <c r="F92" s="5">
        <f t="shared" si="5"/>
        <v>-1.8293455565166216E-2</v>
      </c>
    </row>
    <row r="93" spans="1:6" x14ac:dyDescent="0.35">
      <c r="A93" s="10">
        <v>45058</v>
      </c>
      <c r="B93" s="9">
        <v>-8.1120136930566255E-3</v>
      </c>
      <c r="D93" s="6" t="str">
        <f t="shared" si="3"/>
        <v>05/12/2023</v>
      </c>
      <c r="E93" s="6" t="str">
        <f t="shared" si="4"/>
        <v>RGUSHSBT Index</v>
      </c>
      <c r="F93" s="5">
        <f t="shared" si="5"/>
        <v>-8.1120136930566255E-3</v>
      </c>
    </row>
    <row r="94" spans="1:6" x14ac:dyDescent="0.35">
      <c r="A94" s="8">
        <v>45061</v>
      </c>
      <c r="B94" s="7">
        <v>2.3496862747316771E-2</v>
      </c>
      <c r="D94" s="6" t="str">
        <f t="shared" si="3"/>
        <v>05/15/2023</v>
      </c>
      <c r="E94" s="6" t="str">
        <f t="shared" si="4"/>
        <v>RGUSHSBT Index</v>
      </c>
      <c r="F94" s="5">
        <f t="shared" si="5"/>
        <v>2.3496862747316771E-2</v>
      </c>
    </row>
    <row r="95" spans="1:6" x14ac:dyDescent="0.35">
      <c r="A95" s="10">
        <v>45062</v>
      </c>
      <c r="B95" s="9">
        <v>-2.7429519071310055E-2</v>
      </c>
      <c r="D95" s="6" t="str">
        <f t="shared" si="3"/>
        <v>05/16/2023</v>
      </c>
      <c r="E95" s="6" t="str">
        <f t="shared" si="4"/>
        <v>RGUSHSBT Index</v>
      </c>
      <c r="F95" s="5">
        <f t="shared" si="5"/>
        <v>-2.7429519071310055E-2</v>
      </c>
    </row>
    <row r="96" spans="1:6" x14ac:dyDescent="0.35">
      <c r="A96" s="8">
        <v>45063</v>
      </c>
      <c r="B96" s="7">
        <v>8.4404733485659196E-3</v>
      </c>
      <c r="D96" s="6" t="str">
        <f t="shared" si="3"/>
        <v>05/17/2023</v>
      </c>
      <c r="E96" s="6" t="str">
        <f t="shared" si="4"/>
        <v>RGUSHSBT Index</v>
      </c>
      <c r="F96" s="5">
        <f t="shared" si="5"/>
        <v>8.4404733485659196E-3</v>
      </c>
    </row>
    <row r="97" spans="1:6" x14ac:dyDescent="0.35">
      <c r="A97" s="10">
        <v>45064</v>
      </c>
      <c r="B97" s="9">
        <v>-1.0215699204725431E-2</v>
      </c>
      <c r="D97" s="6" t="str">
        <f t="shared" si="3"/>
        <v>05/18/2023</v>
      </c>
      <c r="E97" s="6" t="str">
        <f t="shared" si="4"/>
        <v>RGUSHSBT Index</v>
      </c>
      <c r="F97" s="5">
        <f t="shared" si="5"/>
        <v>-1.0215699204725431E-2</v>
      </c>
    </row>
    <row r="98" spans="1:6" x14ac:dyDescent="0.35">
      <c r="A98" s="8">
        <v>45065</v>
      </c>
      <c r="B98" s="7">
        <v>1.2094948764453158E-2</v>
      </c>
      <c r="D98" s="6" t="str">
        <f t="shared" si="3"/>
        <v>05/19/2023</v>
      </c>
      <c r="E98" s="6" t="str">
        <f t="shared" si="4"/>
        <v>RGUSHSBT Index</v>
      </c>
      <c r="F98" s="5">
        <f t="shared" si="5"/>
        <v>1.2094948764453158E-2</v>
      </c>
    </row>
    <row r="99" spans="1:6" x14ac:dyDescent="0.35">
      <c r="A99" s="10">
        <v>45068</v>
      </c>
      <c r="B99" s="9">
        <v>2.2015984516230606E-2</v>
      </c>
      <c r="D99" s="6" t="str">
        <f t="shared" si="3"/>
        <v>05/22/2023</v>
      </c>
      <c r="E99" s="6" t="str">
        <f t="shared" si="4"/>
        <v>RGUSHSBT Index</v>
      </c>
      <c r="F99" s="5">
        <f t="shared" si="5"/>
        <v>2.2015984516230606E-2</v>
      </c>
    </row>
    <row r="100" spans="1:6" x14ac:dyDescent="0.35">
      <c r="A100" s="8">
        <v>45069</v>
      </c>
      <c r="B100" s="7">
        <v>-2.1057267509873895E-3</v>
      </c>
      <c r="D100" s="6" t="str">
        <f t="shared" si="3"/>
        <v>05/23/2023</v>
      </c>
      <c r="E100" s="6" t="str">
        <f t="shared" si="4"/>
        <v>RGUSHSBT Index</v>
      </c>
      <c r="F100" s="5">
        <f t="shared" si="5"/>
        <v>-2.1057267509873895E-3</v>
      </c>
    </row>
    <row r="101" spans="1:6" x14ac:dyDescent="0.35">
      <c r="A101" s="10">
        <v>45070</v>
      </c>
      <c r="B101" s="9">
        <v>-1.6241414503627316E-2</v>
      </c>
      <c r="D101" s="6" t="str">
        <f t="shared" si="3"/>
        <v>05/24/2023</v>
      </c>
      <c r="E101" s="6" t="str">
        <f t="shared" si="4"/>
        <v>RGUSHSBT Index</v>
      </c>
      <c r="F101" s="5">
        <f t="shared" si="5"/>
        <v>-1.6241414503627316E-2</v>
      </c>
    </row>
    <row r="102" spans="1:6" x14ac:dyDescent="0.35">
      <c r="A102" s="8">
        <v>45071</v>
      </c>
      <c r="B102" s="7">
        <v>-2.6306492224695961E-2</v>
      </c>
      <c r="D102" s="6" t="str">
        <f t="shared" si="3"/>
        <v>05/25/2023</v>
      </c>
      <c r="E102" s="6" t="str">
        <f t="shared" si="4"/>
        <v>RGUSHSBT Index</v>
      </c>
      <c r="F102" s="5">
        <f t="shared" si="5"/>
        <v>-2.6306492224695961E-2</v>
      </c>
    </row>
    <row r="103" spans="1:6" x14ac:dyDescent="0.35">
      <c r="A103" s="10">
        <v>45072</v>
      </c>
      <c r="B103" s="9">
        <v>8.2675804872429995E-3</v>
      </c>
      <c r="D103" s="6" t="str">
        <f t="shared" si="3"/>
        <v>05/26/2023</v>
      </c>
      <c r="E103" s="6" t="str">
        <f t="shared" si="4"/>
        <v>RGUSHSBT Index</v>
      </c>
      <c r="F103" s="5">
        <f t="shared" si="5"/>
        <v>8.2675804872429995E-3</v>
      </c>
    </row>
    <row r="104" spans="1:6" x14ac:dyDescent="0.35">
      <c r="A104" s="8">
        <v>45076</v>
      </c>
      <c r="B104" s="7">
        <v>-1.2192579348872294E-2</v>
      </c>
      <c r="D104" s="6" t="str">
        <f t="shared" si="3"/>
        <v>05/30/2023</v>
      </c>
      <c r="E104" s="6" t="str">
        <f t="shared" si="4"/>
        <v>RGUSHSBT Index</v>
      </c>
      <c r="F104" s="5">
        <f t="shared" si="5"/>
        <v>-1.2192579348872294E-2</v>
      </c>
    </row>
    <row r="105" spans="1:6" x14ac:dyDescent="0.35">
      <c r="A105" s="10">
        <v>45077</v>
      </c>
      <c r="B105" s="9">
        <v>9.2377884821114413E-3</v>
      </c>
      <c r="D105" s="6" t="str">
        <f t="shared" si="3"/>
        <v>05/31/2023</v>
      </c>
      <c r="E105" s="6" t="str">
        <f t="shared" si="4"/>
        <v>RGUSHSBT Index</v>
      </c>
      <c r="F105" s="5">
        <f t="shared" si="5"/>
        <v>9.2377884821114413E-3</v>
      </c>
    </row>
    <row r="106" spans="1:6" x14ac:dyDescent="0.35">
      <c r="A106" s="8">
        <v>45078</v>
      </c>
      <c r="B106" s="7">
        <v>9.5686377869515973E-3</v>
      </c>
      <c r="D106" s="6" t="str">
        <f t="shared" si="3"/>
        <v>06/01/2023</v>
      </c>
      <c r="E106" s="6" t="str">
        <f t="shared" si="4"/>
        <v>RGUSHSBT Index</v>
      </c>
      <c r="F106" s="5">
        <f t="shared" si="5"/>
        <v>9.5686377869515973E-3</v>
      </c>
    </row>
    <row r="107" spans="1:6" x14ac:dyDescent="0.35">
      <c r="A107" s="10">
        <v>45079</v>
      </c>
      <c r="B107" s="9">
        <v>2.0916750142594868E-2</v>
      </c>
      <c r="D107" s="6" t="str">
        <f t="shared" si="3"/>
        <v>06/02/2023</v>
      </c>
      <c r="E107" s="6" t="str">
        <f t="shared" si="4"/>
        <v>RGUSHSBT Index</v>
      </c>
      <c r="F107" s="5">
        <f t="shared" si="5"/>
        <v>2.0916750142594868E-2</v>
      </c>
    </row>
    <row r="108" spans="1:6" x14ac:dyDescent="0.35">
      <c r="A108" s="8">
        <v>45082</v>
      </c>
      <c r="B108" s="7">
        <v>3.7913321918570655E-3</v>
      </c>
      <c r="D108" s="6" t="str">
        <f t="shared" si="3"/>
        <v>06/05/2023</v>
      </c>
      <c r="E108" s="6" t="str">
        <f t="shared" si="4"/>
        <v>RGUSHSBT Index</v>
      </c>
      <c r="F108" s="5">
        <f t="shared" si="5"/>
        <v>3.7913321918570655E-3</v>
      </c>
    </row>
    <row r="109" spans="1:6" x14ac:dyDescent="0.35">
      <c r="A109" s="10">
        <v>45083</v>
      </c>
      <c r="B109" s="9">
        <v>1.8400474064884809E-2</v>
      </c>
      <c r="D109" s="6" t="str">
        <f t="shared" si="3"/>
        <v>06/06/2023</v>
      </c>
      <c r="E109" s="6" t="str">
        <f t="shared" si="4"/>
        <v>RGUSHSBT Index</v>
      </c>
      <c r="F109" s="5">
        <f t="shared" si="5"/>
        <v>1.8400474064884809E-2</v>
      </c>
    </row>
    <row r="110" spans="1:6" x14ac:dyDescent="0.35">
      <c r="A110" s="8">
        <v>45084</v>
      </c>
      <c r="B110" s="7">
        <v>4.5380760623965214E-3</v>
      </c>
      <c r="D110" s="6" t="str">
        <f t="shared" si="3"/>
        <v>06/07/2023</v>
      </c>
      <c r="E110" s="6" t="str">
        <f t="shared" si="4"/>
        <v>RGUSHSBT Index</v>
      </c>
      <c r="F110" s="5">
        <f t="shared" si="5"/>
        <v>4.5380760623965214E-3</v>
      </c>
    </row>
    <row r="111" spans="1:6" x14ac:dyDescent="0.35">
      <c r="A111" s="10">
        <v>45085</v>
      </c>
      <c r="B111" s="9">
        <v>-3.5106619099950342E-3</v>
      </c>
      <c r="D111" s="6" t="str">
        <f t="shared" si="3"/>
        <v>06/08/2023</v>
      </c>
      <c r="E111" s="6" t="str">
        <f t="shared" si="4"/>
        <v>RGUSHSBT Index</v>
      </c>
      <c r="F111" s="5">
        <f t="shared" si="5"/>
        <v>-3.5106619099950342E-3</v>
      </c>
    </row>
    <row r="112" spans="1:6" x14ac:dyDescent="0.35">
      <c r="A112" s="8">
        <v>45086</v>
      </c>
      <c r="B112" s="7">
        <v>-1.0430559365908814E-2</v>
      </c>
      <c r="D112" s="6" t="str">
        <f t="shared" si="3"/>
        <v>06/09/2023</v>
      </c>
      <c r="E112" s="6" t="str">
        <f t="shared" si="4"/>
        <v>RGUSHSBT Index</v>
      </c>
      <c r="F112" s="5">
        <f t="shared" si="5"/>
        <v>-1.0430559365908814E-2</v>
      </c>
    </row>
    <row r="113" spans="1:6" x14ac:dyDescent="0.35">
      <c r="A113" s="10">
        <v>45089</v>
      </c>
      <c r="B113" s="9">
        <v>1.2453713743003848E-2</v>
      </c>
      <c r="D113" s="6" t="str">
        <f t="shared" si="3"/>
        <v>06/12/2023</v>
      </c>
      <c r="E113" s="6" t="str">
        <f t="shared" si="4"/>
        <v>RGUSHSBT Index</v>
      </c>
      <c r="F113" s="5">
        <f t="shared" si="5"/>
        <v>1.2453713743003848E-2</v>
      </c>
    </row>
    <row r="114" spans="1:6" x14ac:dyDescent="0.35">
      <c r="A114" s="8">
        <v>45090</v>
      </c>
      <c r="B114" s="7">
        <v>2.0859654164610716E-2</v>
      </c>
      <c r="D114" s="6" t="str">
        <f t="shared" si="3"/>
        <v>06/13/2023</v>
      </c>
      <c r="E114" s="6" t="str">
        <f t="shared" si="4"/>
        <v>RGUSHSBT Index</v>
      </c>
      <c r="F114" s="5">
        <f t="shared" si="5"/>
        <v>2.0859654164610716E-2</v>
      </c>
    </row>
    <row r="115" spans="1:6" x14ac:dyDescent="0.35">
      <c r="A115" s="10">
        <v>45091</v>
      </c>
      <c r="B115" s="9">
        <v>-1.6070005842672815E-2</v>
      </c>
      <c r="D115" s="6" t="str">
        <f t="shared" si="3"/>
        <v>06/14/2023</v>
      </c>
      <c r="E115" s="6" t="str">
        <f t="shared" si="4"/>
        <v>RGUSHSBT Index</v>
      </c>
      <c r="F115" s="5">
        <f t="shared" si="5"/>
        <v>-1.6070005842672815E-2</v>
      </c>
    </row>
    <row r="116" spans="1:6" x14ac:dyDescent="0.35">
      <c r="A116" s="8">
        <v>45092</v>
      </c>
      <c r="B116" s="7">
        <v>7.9354582727153968E-4</v>
      </c>
      <c r="D116" s="6" t="str">
        <f t="shared" si="3"/>
        <v>06/15/2023</v>
      </c>
      <c r="E116" s="6" t="str">
        <f t="shared" si="4"/>
        <v>RGUSHSBT Index</v>
      </c>
      <c r="F116" s="5">
        <f t="shared" si="5"/>
        <v>7.9354582727153968E-4</v>
      </c>
    </row>
    <row r="117" spans="1:6" x14ac:dyDescent="0.35">
      <c r="A117" s="10">
        <v>45093</v>
      </c>
      <c r="B117" s="9">
        <v>-1.6848129498925193E-2</v>
      </c>
      <c r="D117" s="6" t="str">
        <f t="shared" si="3"/>
        <v>06/16/2023</v>
      </c>
      <c r="E117" s="6" t="str">
        <f t="shared" si="4"/>
        <v>RGUSHSBT Index</v>
      </c>
      <c r="F117" s="5">
        <f t="shared" si="5"/>
        <v>-1.6848129498925193E-2</v>
      </c>
    </row>
    <row r="118" spans="1:6" x14ac:dyDescent="0.35">
      <c r="A118" s="8">
        <v>45097</v>
      </c>
      <c r="B118" s="7">
        <v>5.8841925077358116E-3</v>
      </c>
      <c r="D118" s="6" t="str">
        <f t="shared" si="3"/>
        <v>06/20/2023</v>
      </c>
      <c r="E118" s="6" t="str">
        <f t="shared" si="4"/>
        <v>RGUSHSBT Index</v>
      </c>
      <c r="F118" s="5">
        <f t="shared" si="5"/>
        <v>5.8841925077358116E-3</v>
      </c>
    </row>
    <row r="119" spans="1:6" x14ac:dyDescent="0.35">
      <c r="A119" s="10">
        <v>45098</v>
      </c>
      <c r="B119" s="9">
        <v>-3.5725876170294912E-3</v>
      </c>
      <c r="D119" s="6" t="str">
        <f t="shared" si="3"/>
        <v>06/21/2023</v>
      </c>
      <c r="E119" s="6" t="str">
        <f t="shared" si="4"/>
        <v>RGUSHSBT Index</v>
      </c>
      <c r="F119" s="5">
        <f t="shared" si="5"/>
        <v>-3.5725876170294912E-3</v>
      </c>
    </row>
    <row r="120" spans="1:6" x14ac:dyDescent="0.35">
      <c r="A120" s="8">
        <v>45099</v>
      </c>
      <c r="B120" s="7">
        <v>-6.5084530518295649E-3</v>
      </c>
      <c r="D120" s="6" t="str">
        <f t="shared" si="3"/>
        <v>06/22/2023</v>
      </c>
      <c r="E120" s="6" t="str">
        <f t="shared" si="4"/>
        <v>RGUSHSBT Index</v>
      </c>
      <c r="F120" s="5">
        <f t="shared" si="5"/>
        <v>-6.5084530518295649E-3</v>
      </c>
    </row>
    <row r="121" spans="1:6" x14ac:dyDescent="0.35">
      <c r="A121" s="10">
        <v>45100</v>
      </c>
      <c r="B121" s="9">
        <v>-1.50361026245685E-2</v>
      </c>
      <c r="D121" s="6" t="str">
        <f t="shared" si="3"/>
        <v>06/23/2023</v>
      </c>
      <c r="E121" s="6" t="str">
        <f t="shared" si="4"/>
        <v>RGUSHSBT Index</v>
      </c>
      <c r="F121" s="5">
        <f t="shared" si="5"/>
        <v>-1.50361026245685E-2</v>
      </c>
    </row>
    <row r="122" spans="1:6" x14ac:dyDescent="0.35">
      <c r="A122" s="8">
        <v>45103</v>
      </c>
      <c r="B122" s="7">
        <v>-3.0601199882528945E-2</v>
      </c>
      <c r="D122" s="6" t="str">
        <f t="shared" si="3"/>
        <v>06/26/2023</v>
      </c>
      <c r="E122" s="6" t="str">
        <f t="shared" si="4"/>
        <v>RGUSHSBT Index</v>
      </c>
      <c r="F122" s="5">
        <f t="shared" si="5"/>
        <v>-3.0601199882528945E-2</v>
      </c>
    </row>
    <row r="123" spans="1:6" x14ac:dyDescent="0.35">
      <c r="A123" s="10">
        <v>45104</v>
      </c>
      <c r="B123" s="9">
        <v>-1.29257863667577E-3</v>
      </c>
      <c r="D123" s="6" t="str">
        <f t="shared" si="3"/>
        <v>06/27/2023</v>
      </c>
      <c r="E123" s="6" t="str">
        <f t="shared" si="4"/>
        <v>RGUSHSBT Index</v>
      </c>
      <c r="F123" s="5">
        <f t="shared" si="5"/>
        <v>-1.29257863667577E-3</v>
      </c>
    </row>
    <row r="124" spans="1:6" x14ac:dyDescent="0.35">
      <c r="A124" s="8">
        <v>45105</v>
      </c>
      <c r="B124" s="7">
        <v>1.4288768323193113E-2</v>
      </c>
      <c r="D124" s="6" t="str">
        <f t="shared" si="3"/>
        <v>06/28/2023</v>
      </c>
      <c r="E124" s="6" t="str">
        <f t="shared" si="4"/>
        <v>RGUSHSBT Index</v>
      </c>
      <c r="F124" s="5">
        <f t="shared" si="5"/>
        <v>1.4288768323193113E-2</v>
      </c>
    </row>
    <row r="125" spans="1:6" x14ac:dyDescent="0.35">
      <c r="A125" s="10">
        <v>45106</v>
      </c>
      <c r="B125" s="9">
        <v>-1.4910621717384592E-2</v>
      </c>
      <c r="D125" s="6" t="str">
        <f t="shared" si="3"/>
        <v>06/29/2023</v>
      </c>
      <c r="E125" s="6" t="str">
        <f t="shared" si="4"/>
        <v>RGUSHSBT Index</v>
      </c>
      <c r="F125" s="5">
        <f t="shared" si="5"/>
        <v>-1.4910621717384592E-2</v>
      </c>
    </row>
    <row r="126" spans="1:6" x14ac:dyDescent="0.35">
      <c r="A126" s="8">
        <v>45107</v>
      </c>
      <c r="B126" s="7">
        <v>1.3031397369432946E-2</v>
      </c>
      <c r="D126" s="6" t="str">
        <f t="shared" si="3"/>
        <v>06/30/2023</v>
      </c>
      <c r="E126" s="6" t="str">
        <f t="shared" si="4"/>
        <v>RGUSHSBT Index</v>
      </c>
      <c r="F126" s="5">
        <f t="shared" si="5"/>
        <v>1.3031397369432946E-2</v>
      </c>
    </row>
    <row r="127" spans="1:6" x14ac:dyDescent="0.35">
      <c r="A127" s="10">
        <v>45110</v>
      </c>
      <c r="B127" s="9">
        <v>-6.0451416241394211E-3</v>
      </c>
      <c r="D127" s="6" t="str">
        <f t="shared" si="3"/>
        <v>07/03/2023</v>
      </c>
      <c r="E127" s="6" t="str">
        <f t="shared" si="4"/>
        <v>RGUSHSBT Index</v>
      </c>
      <c r="F127" s="5">
        <f t="shared" si="5"/>
        <v>-6.0451416241394211E-3</v>
      </c>
    </row>
    <row r="128" spans="1:6" x14ac:dyDescent="0.35">
      <c r="A128" s="8">
        <v>45112</v>
      </c>
      <c r="B128" s="7">
        <v>-1.2807038702526479E-3</v>
      </c>
      <c r="D128" s="6" t="str">
        <f t="shared" si="3"/>
        <v>07/05/2023</v>
      </c>
      <c r="E128" s="6" t="str">
        <f t="shared" si="4"/>
        <v>RGUSHSBT Index</v>
      </c>
      <c r="F128" s="5">
        <f t="shared" si="5"/>
        <v>-1.2807038702526479E-3</v>
      </c>
    </row>
    <row r="129" spans="1:6" x14ac:dyDescent="0.35">
      <c r="A129" s="10">
        <v>45113</v>
      </c>
      <c r="B129" s="9">
        <v>-1.3257619321449145E-2</v>
      </c>
      <c r="D129" s="6" t="str">
        <f t="shared" si="3"/>
        <v>07/06/2023</v>
      </c>
      <c r="E129" s="6" t="str">
        <f t="shared" si="4"/>
        <v>RGUSHSBT Index</v>
      </c>
      <c r="F129" s="5">
        <f t="shared" si="5"/>
        <v>-1.3257619321449145E-2</v>
      </c>
    </row>
    <row r="130" spans="1:6" x14ac:dyDescent="0.35">
      <c r="A130" s="8">
        <v>45114</v>
      </c>
      <c r="B130" s="7">
        <v>1.3636800713310423E-3</v>
      </c>
      <c r="D130" s="6" t="str">
        <f t="shared" si="3"/>
        <v>07/07/2023</v>
      </c>
      <c r="E130" s="6" t="str">
        <f t="shared" si="4"/>
        <v>RGUSHSBT Index</v>
      </c>
      <c r="F130" s="5">
        <f t="shared" si="5"/>
        <v>1.3636800713310423E-3</v>
      </c>
    </row>
    <row r="131" spans="1:6" x14ac:dyDescent="0.35">
      <c r="A131" s="10">
        <v>45117</v>
      </c>
      <c r="B131" s="9">
        <v>2.9797152393229189E-2</v>
      </c>
      <c r="D131" s="6" t="str">
        <f t="shared" ref="D131:D194" si="6">IF(A131 =  "", "",  TEXT(A131, "mm/dd/yyyy"))</f>
        <v>07/10/2023</v>
      </c>
      <c r="E131" s="6" t="str">
        <f t="shared" ref="E131:E194" si="7">IF(A131="", "", EntityLocal)</f>
        <v>RGUSHSBT Index</v>
      </c>
      <c r="F131" s="5">
        <f t="shared" ref="F131:F194" si="8">IF(B131="","", B131)</f>
        <v>2.9797152393229189E-2</v>
      </c>
    </row>
    <row r="132" spans="1:6" x14ac:dyDescent="0.35">
      <c r="A132" s="8">
        <v>45118</v>
      </c>
      <c r="B132" s="7">
        <v>-3.8061921971646556E-3</v>
      </c>
      <c r="D132" s="6" t="str">
        <f t="shared" si="6"/>
        <v>07/11/2023</v>
      </c>
      <c r="E132" s="6" t="str">
        <f t="shared" si="7"/>
        <v>RGUSHSBT Index</v>
      </c>
      <c r="F132" s="5">
        <f t="shared" si="8"/>
        <v>-3.8061921971646556E-3</v>
      </c>
    </row>
    <row r="133" spans="1:6" x14ac:dyDescent="0.35">
      <c r="A133" s="10">
        <v>45119</v>
      </c>
      <c r="B133" s="9">
        <v>1.1439512125939563E-2</v>
      </c>
      <c r="D133" s="6" t="str">
        <f t="shared" si="6"/>
        <v>07/12/2023</v>
      </c>
      <c r="E133" s="6" t="str">
        <f t="shared" si="7"/>
        <v>RGUSHSBT Index</v>
      </c>
      <c r="F133" s="5">
        <f t="shared" si="8"/>
        <v>1.1439512125939563E-2</v>
      </c>
    </row>
    <row r="134" spans="1:6" x14ac:dyDescent="0.35">
      <c r="A134" s="8">
        <v>45120</v>
      </c>
      <c r="B134" s="7">
        <v>1.4162200665764164E-3</v>
      </c>
      <c r="D134" s="6" t="str">
        <f t="shared" si="6"/>
        <v>07/13/2023</v>
      </c>
      <c r="E134" s="6" t="str">
        <f t="shared" si="7"/>
        <v>RGUSHSBT Index</v>
      </c>
      <c r="F134" s="5">
        <f t="shared" si="8"/>
        <v>1.4162200665764164E-3</v>
      </c>
    </row>
    <row r="135" spans="1:6" x14ac:dyDescent="0.35">
      <c r="A135" s="10">
        <v>45121</v>
      </c>
      <c r="B135" s="9">
        <v>-1.7922752934851048E-3</v>
      </c>
      <c r="D135" s="6" t="str">
        <f t="shared" si="6"/>
        <v>07/14/2023</v>
      </c>
      <c r="E135" s="6" t="str">
        <f t="shared" si="7"/>
        <v>RGUSHSBT Index</v>
      </c>
      <c r="F135" s="5">
        <f t="shared" si="8"/>
        <v>-1.7922752934851048E-3</v>
      </c>
    </row>
    <row r="136" spans="1:6" x14ac:dyDescent="0.35">
      <c r="A136" s="8">
        <v>45124</v>
      </c>
      <c r="B136" s="7">
        <v>1.7323705000448872E-2</v>
      </c>
      <c r="D136" s="6" t="str">
        <f t="shared" si="6"/>
        <v>07/17/2023</v>
      </c>
      <c r="E136" s="6" t="str">
        <f t="shared" si="7"/>
        <v>RGUSHSBT Index</v>
      </c>
      <c r="F136" s="5">
        <f t="shared" si="8"/>
        <v>1.7323705000448872E-2</v>
      </c>
    </row>
    <row r="137" spans="1:6" x14ac:dyDescent="0.35">
      <c r="A137" s="10">
        <v>45125</v>
      </c>
      <c r="B137" s="9">
        <v>7.4457494422577107E-5</v>
      </c>
      <c r="D137" s="6" t="str">
        <f t="shared" si="6"/>
        <v>07/18/2023</v>
      </c>
      <c r="E137" s="6" t="str">
        <f t="shared" si="7"/>
        <v>RGUSHSBT Index</v>
      </c>
      <c r="F137" s="5">
        <f t="shared" si="8"/>
        <v>7.4457494422577107E-5</v>
      </c>
    </row>
    <row r="138" spans="1:6" x14ac:dyDescent="0.35">
      <c r="A138" s="8">
        <v>45126</v>
      </c>
      <c r="B138" s="7">
        <v>3.3420653522679969E-3</v>
      </c>
      <c r="D138" s="6" t="str">
        <f t="shared" si="6"/>
        <v>07/19/2023</v>
      </c>
      <c r="E138" s="6" t="str">
        <f t="shared" si="7"/>
        <v>RGUSHSBT Index</v>
      </c>
      <c r="F138" s="5">
        <f t="shared" si="8"/>
        <v>3.3420653522679969E-3</v>
      </c>
    </row>
    <row r="139" spans="1:6" x14ac:dyDescent="0.35">
      <c r="A139" s="10">
        <v>45127</v>
      </c>
      <c r="B139" s="9">
        <v>-1.7124624170702065E-2</v>
      </c>
      <c r="D139" s="6" t="str">
        <f t="shared" si="6"/>
        <v>07/20/2023</v>
      </c>
      <c r="E139" s="6" t="str">
        <f t="shared" si="7"/>
        <v>RGUSHSBT Index</v>
      </c>
      <c r="F139" s="5">
        <f t="shared" si="8"/>
        <v>-1.7124624170702065E-2</v>
      </c>
    </row>
    <row r="140" spans="1:6" x14ac:dyDescent="0.35">
      <c r="A140" s="8">
        <v>45128</v>
      </c>
      <c r="B140" s="7">
        <v>6.9652798554934708E-3</v>
      </c>
      <c r="D140" s="6" t="str">
        <f t="shared" si="6"/>
        <v>07/21/2023</v>
      </c>
      <c r="E140" s="6" t="str">
        <f t="shared" si="7"/>
        <v>RGUSHSBT Index</v>
      </c>
      <c r="F140" s="5">
        <f t="shared" si="8"/>
        <v>6.9652798554934708E-3</v>
      </c>
    </row>
    <row r="141" spans="1:6" x14ac:dyDescent="0.35">
      <c r="A141" s="10">
        <v>45131</v>
      </c>
      <c r="B141" s="9">
        <v>-2.0604128600862991E-2</v>
      </c>
      <c r="D141" s="6" t="str">
        <f t="shared" si="6"/>
        <v>07/24/2023</v>
      </c>
      <c r="E141" s="6" t="str">
        <f t="shared" si="7"/>
        <v>RGUSHSBT Index</v>
      </c>
      <c r="F141" s="5">
        <f t="shared" si="8"/>
        <v>-2.0604128600862991E-2</v>
      </c>
    </row>
    <row r="142" spans="1:6" x14ac:dyDescent="0.35">
      <c r="A142" s="8">
        <v>45132</v>
      </c>
      <c r="B142" s="7">
        <v>-7.2554167540870608E-3</v>
      </c>
      <c r="D142" s="6" t="str">
        <f t="shared" si="6"/>
        <v>07/25/2023</v>
      </c>
      <c r="E142" s="6" t="str">
        <f t="shared" si="7"/>
        <v>RGUSHSBT Index</v>
      </c>
      <c r="F142" s="5">
        <f t="shared" si="8"/>
        <v>-7.2554167540870608E-3</v>
      </c>
    </row>
    <row r="143" spans="1:6" x14ac:dyDescent="0.35">
      <c r="A143" s="10">
        <v>45133</v>
      </c>
      <c r="B143" s="9">
        <v>-1.7707051119111075E-4</v>
      </c>
      <c r="D143" s="6" t="str">
        <f t="shared" si="6"/>
        <v>07/26/2023</v>
      </c>
      <c r="E143" s="6" t="str">
        <f t="shared" si="7"/>
        <v>RGUSHSBT Index</v>
      </c>
      <c r="F143" s="5">
        <f t="shared" si="8"/>
        <v>-1.7707051119111075E-4</v>
      </c>
    </row>
    <row r="144" spans="1:6" x14ac:dyDescent="0.35">
      <c r="A144" s="8">
        <v>45134</v>
      </c>
      <c r="B144" s="7">
        <v>-1.5322168298193811E-2</v>
      </c>
      <c r="D144" s="6" t="str">
        <f t="shared" si="6"/>
        <v>07/27/2023</v>
      </c>
      <c r="E144" s="6" t="str">
        <f t="shared" si="7"/>
        <v>RGUSHSBT Index</v>
      </c>
      <c r="F144" s="5">
        <f t="shared" si="8"/>
        <v>-1.5322168298193811E-2</v>
      </c>
    </row>
    <row r="145" spans="1:6" x14ac:dyDescent="0.35">
      <c r="A145" s="10">
        <v>45135</v>
      </c>
      <c r="B145" s="9">
        <v>3.6902734707020553E-2</v>
      </c>
      <c r="D145" s="6" t="str">
        <f t="shared" si="6"/>
        <v>07/28/2023</v>
      </c>
      <c r="E145" s="6" t="str">
        <f t="shared" si="7"/>
        <v>RGUSHSBT Index</v>
      </c>
      <c r="F145" s="5">
        <f t="shared" si="8"/>
        <v>3.6902734707020553E-2</v>
      </c>
    </row>
    <row r="146" spans="1:6" x14ac:dyDescent="0.35">
      <c r="A146" s="8">
        <v>45138</v>
      </c>
      <c r="B146" s="7">
        <v>8.3706824680084575E-3</v>
      </c>
      <c r="D146" s="6" t="str">
        <f t="shared" si="6"/>
        <v>07/31/2023</v>
      </c>
      <c r="E146" s="6" t="str">
        <f t="shared" si="7"/>
        <v>RGUSHSBT Index</v>
      </c>
      <c r="F146" s="5">
        <f t="shared" si="8"/>
        <v>8.3706824680084575E-3</v>
      </c>
    </row>
    <row r="147" spans="1:6" x14ac:dyDescent="0.35">
      <c r="A147" s="10">
        <v>45139</v>
      </c>
      <c r="B147" s="9">
        <v>-1.4185833587659217E-2</v>
      </c>
      <c r="D147" s="6" t="str">
        <f t="shared" si="6"/>
        <v>08/01/2023</v>
      </c>
      <c r="E147" s="6" t="str">
        <f t="shared" si="7"/>
        <v>RGUSHSBT Index</v>
      </c>
      <c r="F147" s="5">
        <f t="shared" si="8"/>
        <v>-1.4185833587659217E-2</v>
      </c>
    </row>
    <row r="148" spans="1:6" x14ac:dyDescent="0.35">
      <c r="A148" s="8">
        <v>45140</v>
      </c>
      <c r="B148" s="7">
        <v>-1.826819431662427E-2</v>
      </c>
      <c r="D148" s="6" t="str">
        <f t="shared" si="6"/>
        <v>08/02/2023</v>
      </c>
      <c r="E148" s="6" t="str">
        <f t="shared" si="7"/>
        <v>RGUSHSBT Index</v>
      </c>
      <c r="F148" s="5">
        <f t="shared" si="8"/>
        <v>-1.826819431662427E-2</v>
      </c>
    </row>
    <row r="149" spans="1:6" x14ac:dyDescent="0.35">
      <c r="A149" s="10">
        <v>45141</v>
      </c>
      <c r="B149" s="9">
        <v>-1.102268752902601E-2</v>
      </c>
      <c r="D149" s="6" t="str">
        <f t="shared" si="6"/>
        <v>08/03/2023</v>
      </c>
      <c r="E149" s="6" t="str">
        <f t="shared" si="7"/>
        <v>RGUSHSBT Index</v>
      </c>
      <c r="F149" s="5">
        <f t="shared" si="8"/>
        <v>-1.102268752902601E-2</v>
      </c>
    </row>
    <row r="150" spans="1:6" x14ac:dyDescent="0.35">
      <c r="A150" s="8">
        <v>45142</v>
      </c>
      <c r="B150" s="7">
        <v>4.2031300274515779E-4</v>
      </c>
      <c r="D150" s="6" t="str">
        <f t="shared" si="6"/>
        <v>08/04/2023</v>
      </c>
      <c r="E150" s="6" t="str">
        <f t="shared" si="7"/>
        <v>RGUSHSBT Index</v>
      </c>
      <c r="F150" s="5">
        <f t="shared" si="8"/>
        <v>4.2031300274515779E-4</v>
      </c>
    </row>
    <row r="151" spans="1:6" x14ac:dyDescent="0.35">
      <c r="A151" s="10">
        <v>45145</v>
      </c>
      <c r="B151" s="9">
        <v>-3.8974171751766082E-2</v>
      </c>
      <c r="D151" s="6" t="str">
        <f t="shared" si="6"/>
        <v>08/07/2023</v>
      </c>
      <c r="E151" s="6" t="str">
        <f t="shared" si="7"/>
        <v>RGUSHSBT Index</v>
      </c>
      <c r="F151" s="5">
        <f t="shared" si="8"/>
        <v>-3.8974171751766082E-2</v>
      </c>
    </row>
    <row r="152" spans="1:6" x14ac:dyDescent="0.35">
      <c r="A152" s="8">
        <v>45146</v>
      </c>
      <c r="B152" s="7">
        <v>7.9927640009045658E-3</v>
      </c>
      <c r="D152" s="6" t="str">
        <f t="shared" si="6"/>
        <v>08/08/2023</v>
      </c>
      <c r="E152" s="6" t="str">
        <f t="shared" si="7"/>
        <v>RGUSHSBT Index</v>
      </c>
      <c r="F152" s="5">
        <f t="shared" si="8"/>
        <v>7.9927640009045658E-3</v>
      </c>
    </row>
    <row r="153" spans="1:6" x14ac:dyDescent="0.35">
      <c r="A153" s="10">
        <v>45147</v>
      </c>
      <c r="B153" s="9">
        <v>-1.3130896191143758E-3</v>
      </c>
      <c r="D153" s="6" t="str">
        <f t="shared" si="6"/>
        <v>08/09/2023</v>
      </c>
      <c r="E153" s="6" t="str">
        <f t="shared" si="7"/>
        <v>RGUSHSBT Index</v>
      </c>
      <c r="F153" s="5">
        <f t="shared" si="8"/>
        <v>-1.3130896191143758E-3</v>
      </c>
    </row>
    <row r="154" spans="1:6" x14ac:dyDescent="0.35">
      <c r="A154" s="8">
        <v>45148</v>
      </c>
      <c r="B154" s="7">
        <v>6.3374734565886997E-3</v>
      </c>
      <c r="D154" s="6" t="str">
        <f t="shared" si="6"/>
        <v>08/10/2023</v>
      </c>
      <c r="E154" s="6" t="str">
        <f t="shared" si="7"/>
        <v>RGUSHSBT Index</v>
      </c>
      <c r="F154" s="5">
        <f t="shared" si="8"/>
        <v>6.3374734565886997E-3</v>
      </c>
    </row>
    <row r="155" spans="1:6" x14ac:dyDescent="0.35">
      <c r="A155" s="10">
        <v>45149</v>
      </c>
      <c r="B155" s="9">
        <v>-1.4642726404228749E-3</v>
      </c>
      <c r="D155" s="6" t="str">
        <f t="shared" si="6"/>
        <v>08/11/2023</v>
      </c>
      <c r="E155" s="6" t="str">
        <f t="shared" si="7"/>
        <v>RGUSHSBT Index</v>
      </c>
      <c r="F155" s="5">
        <f t="shared" si="8"/>
        <v>-1.4642726404228749E-3</v>
      </c>
    </row>
    <row r="156" spans="1:6" x14ac:dyDescent="0.35">
      <c r="A156" s="8">
        <v>45152</v>
      </c>
      <c r="B156" s="7">
        <v>-2.5662347881291905E-3</v>
      </c>
      <c r="D156" s="6" t="str">
        <f t="shared" si="6"/>
        <v>08/14/2023</v>
      </c>
      <c r="E156" s="6" t="str">
        <f t="shared" si="7"/>
        <v>RGUSHSBT Index</v>
      </c>
      <c r="F156" s="5">
        <f t="shared" si="8"/>
        <v>-2.5662347881291905E-3</v>
      </c>
    </row>
    <row r="157" spans="1:6" x14ac:dyDescent="0.35">
      <c r="A157" s="10">
        <v>45153</v>
      </c>
      <c r="B157" s="9">
        <v>-3.1704766173614603E-3</v>
      </c>
      <c r="D157" s="6" t="str">
        <f t="shared" si="6"/>
        <v>08/15/2023</v>
      </c>
      <c r="E157" s="6" t="str">
        <f t="shared" si="7"/>
        <v>RGUSHSBT Index</v>
      </c>
      <c r="F157" s="5">
        <f t="shared" si="8"/>
        <v>-3.1704766173614603E-3</v>
      </c>
    </row>
    <row r="158" spans="1:6" x14ac:dyDescent="0.35">
      <c r="A158" s="8">
        <v>45154</v>
      </c>
      <c r="B158" s="7">
        <v>-2.2422801711087511E-2</v>
      </c>
      <c r="D158" s="6" t="str">
        <f t="shared" si="6"/>
        <v>08/16/2023</v>
      </c>
      <c r="E158" s="6" t="str">
        <f t="shared" si="7"/>
        <v>RGUSHSBT Index</v>
      </c>
      <c r="F158" s="5">
        <f t="shared" si="8"/>
        <v>-2.2422801711087511E-2</v>
      </c>
    </row>
    <row r="159" spans="1:6" x14ac:dyDescent="0.35">
      <c r="A159" s="10">
        <v>45155</v>
      </c>
      <c r="B159" s="9">
        <v>-1.5356828545056997E-2</v>
      </c>
      <c r="D159" s="6" t="str">
        <f t="shared" si="6"/>
        <v>08/17/2023</v>
      </c>
      <c r="E159" s="6" t="str">
        <f t="shared" si="7"/>
        <v>RGUSHSBT Index</v>
      </c>
      <c r="F159" s="5">
        <f t="shared" si="8"/>
        <v>-1.5356828545056997E-2</v>
      </c>
    </row>
    <row r="160" spans="1:6" x14ac:dyDescent="0.35">
      <c r="A160" s="8">
        <v>45156</v>
      </c>
      <c r="B160" s="7">
        <v>9.5079118408225895E-3</v>
      </c>
      <c r="D160" s="6" t="str">
        <f t="shared" si="6"/>
        <v>08/18/2023</v>
      </c>
      <c r="E160" s="6" t="str">
        <f t="shared" si="7"/>
        <v>RGUSHSBT Index</v>
      </c>
      <c r="F160" s="5">
        <f t="shared" si="8"/>
        <v>9.5079118408225895E-3</v>
      </c>
    </row>
    <row r="161" spans="1:6" x14ac:dyDescent="0.35">
      <c r="A161" s="10">
        <v>45159</v>
      </c>
      <c r="B161" s="9">
        <v>1.2342898745657995E-2</v>
      </c>
      <c r="D161" s="6" t="str">
        <f t="shared" si="6"/>
        <v>08/21/2023</v>
      </c>
      <c r="E161" s="6" t="str">
        <f t="shared" si="7"/>
        <v>RGUSHSBT Index</v>
      </c>
      <c r="F161" s="5">
        <f t="shared" si="8"/>
        <v>1.2342898745657995E-2</v>
      </c>
    </row>
    <row r="162" spans="1:6" x14ac:dyDescent="0.35">
      <c r="A162" s="8">
        <v>45160</v>
      </c>
      <c r="B162" s="7">
        <v>8.5935000228541658E-4</v>
      </c>
      <c r="D162" s="6" t="str">
        <f t="shared" si="6"/>
        <v>08/22/2023</v>
      </c>
      <c r="E162" s="6" t="str">
        <f t="shared" si="7"/>
        <v>RGUSHSBT Index</v>
      </c>
      <c r="F162" s="5">
        <f t="shared" si="8"/>
        <v>8.5935000228541658E-4</v>
      </c>
    </row>
    <row r="163" spans="1:6" x14ac:dyDescent="0.35">
      <c r="A163" s="10">
        <v>45161</v>
      </c>
      <c r="B163" s="9">
        <v>6.6344534872745655E-3</v>
      </c>
      <c r="D163" s="6" t="str">
        <f t="shared" si="6"/>
        <v>08/23/2023</v>
      </c>
      <c r="E163" s="6" t="str">
        <f t="shared" si="7"/>
        <v>RGUSHSBT Index</v>
      </c>
      <c r="F163" s="5">
        <f t="shared" si="8"/>
        <v>6.6344534872745655E-3</v>
      </c>
    </row>
    <row r="164" spans="1:6" x14ac:dyDescent="0.35">
      <c r="A164" s="8">
        <v>45162</v>
      </c>
      <c r="B164" s="7">
        <v>-1.7334309289326576E-2</v>
      </c>
      <c r="D164" s="6" t="str">
        <f t="shared" si="6"/>
        <v>08/24/2023</v>
      </c>
      <c r="E164" s="6" t="str">
        <f t="shared" si="7"/>
        <v>RGUSHSBT Index</v>
      </c>
      <c r="F164" s="5">
        <f t="shared" si="8"/>
        <v>-1.7334309289326576E-2</v>
      </c>
    </row>
    <row r="165" spans="1:6" x14ac:dyDescent="0.35">
      <c r="A165" s="10">
        <v>45163</v>
      </c>
      <c r="B165" s="9">
        <v>1.0702248487926492E-2</v>
      </c>
      <c r="D165" s="6" t="str">
        <f t="shared" si="6"/>
        <v>08/25/2023</v>
      </c>
      <c r="E165" s="6" t="str">
        <f t="shared" si="7"/>
        <v>RGUSHSBT Index</v>
      </c>
      <c r="F165" s="5">
        <f t="shared" si="8"/>
        <v>1.0702248487926492E-2</v>
      </c>
    </row>
    <row r="166" spans="1:6" x14ac:dyDescent="0.35">
      <c r="A166" s="8">
        <v>45166</v>
      </c>
      <c r="B166" s="7">
        <v>2.2018382151406126E-3</v>
      </c>
      <c r="D166" s="6" t="str">
        <f t="shared" si="6"/>
        <v>08/28/2023</v>
      </c>
      <c r="E166" s="6" t="str">
        <f t="shared" si="7"/>
        <v>RGUSHSBT Index</v>
      </c>
      <c r="F166" s="5">
        <f t="shared" si="8"/>
        <v>2.2018382151406126E-3</v>
      </c>
    </row>
    <row r="167" spans="1:6" x14ac:dyDescent="0.35">
      <c r="A167" s="10">
        <v>45167</v>
      </c>
      <c r="B167" s="9">
        <v>7.420575231323237E-3</v>
      </c>
      <c r="D167" s="6" t="str">
        <f t="shared" si="6"/>
        <v>08/29/2023</v>
      </c>
      <c r="E167" s="6" t="str">
        <f t="shared" si="7"/>
        <v>RGUSHSBT Index</v>
      </c>
      <c r="F167" s="5">
        <f t="shared" si="8"/>
        <v>7.420575231323237E-3</v>
      </c>
    </row>
    <row r="168" spans="1:6" x14ac:dyDescent="0.35">
      <c r="A168" s="8">
        <v>45168</v>
      </c>
      <c r="B168" s="7">
        <v>2.1204909404061206E-3</v>
      </c>
      <c r="D168" s="6" t="str">
        <f t="shared" si="6"/>
        <v>08/30/2023</v>
      </c>
      <c r="E168" s="6" t="str">
        <f t="shared" si="7"/>
        <v>RGUSHSBT Index</v>
      </c>
      <c r="F168" s="5">
        <f t="shared" si="8"/>
        <v>2.1204909404061206E-3</v>
      </c>
    </row>
    <row r="169" spans="1:6" x14ac:dyDescent="0.35">
      <c r="A169" s="10">
        <v>45169</v>
      </c>
      <c r="B169" s="9">
        <v>-8.4519760406948138E-3</v>
      </c>
      <c r="D169" s="6" t="str">
        <f t="shared" si="6"/>
        <v>08/31/2023</v>
      </c>
      <c r="E169" s="6" t="str">
        <f t="shared" si="7"/>
        <v>RGUSHSBT Index</v>
      </c>
      <c r="F169" s="5">
        <f t="shared" si="8"/>
        <v>-8.4519760406948138E-3</v>
      </c>
    </row>
    <row r="170" spans="1:6" x14ac:dyDescent="0.35">
      <c r="A170" s="8">
        <v>45170</v>
      </c>
      <c r="B170" s="7">
        <v>1.7916229031455091E-2</v>
      </c>
      <c r="D170" s="6" t="str">
        <f t="shared" si="6"/>
        <v>09/01/2023</v>
      </c>
      <c r="E170" s="6" t="str">
        <f t="shared" si="7"/>
        <v>RGUSHSBT Index</v>
      </c>
      <c r="F170" s="5">
        <f t="shared" si="8"/>
        <v>1.7916229031455091E-2</v>
      </c>
    </row>
    <row r="171" spans="1:6" x14ac:dyDescent="0.35">
      <c r="A171" s="10">
        <v>45174</v>
      </c>
      <c r="B171" s="9">
        <v>-1.7660531307034332E-2</v>
      </c>
      <c r="D171" s="6" t="str">
        <f t="shared" si="6"/>
        <v>09/05/2023</v>
      </c>
      <c r="E171" s="6" t="str">
        <f t="shared" si="7"/>
        <v>RGUSHSBT Index</v>
      </c>
      <c r="F171" s="5">
        <f t="shared" si="8"/>
        <v>-1.7660531307034332E-2</v>
      </c>
    </row>
    <row r="172" spans="1:6" x14ac:dyDescent="0.35">
      <c r="A172" s="8">
        <v>45175</v>
      </c>
      <c r="B172" s="7">
        <v>3.0843771440367254E-3</v>
      </c>
      <c r="D172" s="6" t="str">
        <f t="shared" si="6"/>
        <v>09/06/2023</v>
      </c>
      <c r="E172" s="6" t="str">
        <f t="shared" si="7"/>
        <v>RGUSHSBT Index</v>
      </c>
      <c r="F172" s="5">
        <f t="shared" si="8"/>
        <v>3.0843771440367254E-3</v>
      </c>
    </row>
    <row r="173" spans="1:6" x14ac:dyDescent="0.35">
      <c r="A173" s="10">
        <v>45176</v>
      </c>
      <c r="B173" s="9">
        <v>-1.1016348988251138E-2</v>
      </c>
      <c r="D173" s="6" t="str">
        <f t="shared" si="6"/>
        <v>09/07/2023</v>
      </c>
      <c r="E173" s="6" t="str">
        <f t="shared" si="7"/>
        <v>RGUSHSBT Index</v>
      </c>
      <c r="F173" s="5">
        <f t="shared" si="8"/>
        <v>-1.1016348988251138E-2</v>
      </c>
    </row>
    <row r="174" spans="1:6" x14ac:dyDescent="0.35">
      <c r="A174" s="8">
        <v>45177</v>
      </c>
      <c r="B174" s="7">
        <v>-4.2046894221765959E-3</v>
      </c>
      <c r="D174" s="6" t="str">
        <f t="shared" si="6"/>
        <v>09/08/2023</v>
      </c>
      <c r="E174" s="6" t="str">
        <f t="shared" si="7"/>
        <v>RGUSHSBT Index</v>
      </c>
      <c r="F174" s="5">
        <f t="shared" si="8"/>
        <v>-4.2046894221765959E-3</v>
      </c>
    </row>
    <row r="175" spans="1:6" x14ac:dyDescent="0.35">
      <c r="A175" s="10">
        <v>45180</v>
      </c>
      <c r="B175" s="9">
        <v>9.0072648154294194E-3</v>
      </c>
      <c r="D175" s="6" t="str">
        <f t="shared" si="6"/>
        <v>09/11/2023</v>
      </c>
      <c r="E175" s="6" t="str">
        <f t="shared" si="7"/>
        <v>RGUSHSBT Index</v>
      </c>
      <c r="F175" s="5">
        <f t="shared" si="8"/>
        <v>9.0072648154294194E-3</v>
      </c>
    </row>
    <row r="176" spans="1:6" x14ac:dyDescent="0.35">
      <c r="A176" s="8">
        <v>45181</v>
      </c>
      <c r="B176" s="7">
        <v>4.5989614265924081E-4</v>
      </c>
      <c r="D176" s="6" t="str">
        <f t="shared" si="6"/>
        <v>09/12/2023</v>
      </c>
      <c r="E176" s="6" t="str">
        <f t="shared" si="7"/>
        <v>RGUSHSBT Index</v>
      </c>
      <c r="F176" s="5">
        <f t="shared" si="8"/>
        <v>4.5989614265924081E-4</v>
      </c>
    </row>
    <row r="177" spans="1:6" x14ac:dyDescent="0.35">
      <c r="A177" s="10">
        <v>45182</v>
      </c>
      <c r="B177" s="9">
        <v>-1.1385568943577531E-2</v>
      </c>
      <c r="D177" s="6" t="str">
        <f t="shared" si="6"/>
        <v>09/13/2023</v>
      </c>
      <c r="E177" s="6" t="str">
        <f t="shared" si="7"/>
        <v>RGUSHSBT Index</v>
      </c>
      <c r="F177" s="5">
        <f t="shared" si="8"/>
        <v>-1.1385568943577531E-2</v>
      </c>
    </row>
    <row r="178" spans="1:6" x14ac:dyDescent="0.35">
      <c r="A178" s="8">
        <v>45183</v>
      </c>
      <c r="B178" s="7">
        <v>-1.462681603468557E-3</v>
      </c>
      <c r="D178" s="6" t="str">
        <f t="shared" si="6"/>
        <v>09/14/2023</v>
      </c>
      <c r="E178" s="6" t="str">
        <f t="shared" si="7"/>
        <v>RGUSHSBT Index</v>
      </c>
      <c r="F178" s="5">
        <f t="shared" si="8"/>
        <v>-1.462681603468557E-3</v>
      </c>
    </row>
    <row r="179" spans="1:6" x14ac:dyDescent="0.35">
      <c r="A179" s="10">
        <v>45184</v>
      </c>
      <c r="B179" s="9">
        <v>-1.5372944234914596E-2</v>
      </c>
      <c r="D179" s="6" t="str">
        <f t="shared" si="6"/>
        <v>09/15/2023</v>
      </c>
      <c r="E179" s="6" t="str">
        <f t="shared" si="7"/>
        <v>RGUSHSBT Index</v>
      </c>
      <c r="F179" s="5">
        <f t="shared" si="8"/>
        <v>-1.5372944234914596E-2</v>
      </c>
    </row>
    <row r="180" spans="1:6" x14ac:dyDescent="0.35">
      <c r="A180" s="8">
        <v>45187</v>
      </c>
      <c r="B180" s="7">
        <v>-1.7805353194314786E-2</v>
      </c>
      <c r="D180" s="6" t="str">
        <f t="shared" si="6"/>
        <v>09/18/2023</v>
      </c>
      <c r="E180" s="6" t="str">
        <f t="shared" si="7"/>
        <v>RGUSHSBT Index</v>
      </c>
      <c r="F180" s="5">
        <f t="shared" si="8"/>
        <v>-1.7805353194314786E-2</v>
      </c>
    </row>
    <row r="181" spans="1:6" x14ac:dyDescent="0.35">
      <c r="A181" s="10">
        <v>45188</v>
      </c>
      <c r="B181" s="9">
        <v>-4.295266915603029E-3</v>
      </c>
      <c r="D181" s="6" t="str">
        <f t="shared" si="6"/>
        <v>09/19/2023</v>
      </c>
      <c r="E181" s="6" t="str">
        <f t="shared" si="7"/>
        <v>RGUSHSBT Index</v>
      </c>
      <c r="F181" s="5">
        <f t="shared" si="8"/>
        <v>-4.295266915603029E-3</v>
      </c>
    </row>
    <row r="182" spans="1:6" x14ac:dyDescent="0.35">
      <c r="A182" s="8">
        <v>45189</v>
      </c>
      <c r="B182" s="7">
        <v>-2.4649804325965335E-2</v>
      </c>
      <c r="D182" s="6" t="str">
        <f t="shared" si="6"/>
        <v>09/20/2023</v>
      </c>
      <c r="E182" s="6" t="str">
        <f t="shared" si="7"/>
        <v>RGUSHSBT Index</v>
      </c>
      <c r="F182" s="5">
        <f t="shared" si="8"/>
        <v>-2.4649804325965335E-2</v>
      </c>
    </row>
    <row r="183" spans="1:6" x14ac:dyDescent="0.35">
      <c r="A183" s="10">
        <v>45190</v>
      </c>
      <c r="B183" s="9">
        <v>-6.8591429518941698E-3</v>
      </c>
      <c r="D183" s="6" t="str">
        <f t="shared" si="6"/>
        <v>09/21/2023</v>
      </c>
      <c r="E183" s="6" t="str">
        <f t="shared" si="7"/>
        <v>RGUSHSBT Index</v>
      </c>
      <c r="F183" s="5">
        <f t="shared" si="8"/>
        <v>-6.8591429518941698E-3</v>
      </c>
    </row>
    <row r="184" spans="1:6" x14ac:dyDescent="0.35">
      <c r="A184" s="8">
        <v>45191</v>
      </c>
      <c r="B184" s="7">
        <v>-1.1237552402237521E-2</v>
      </c>
      <c r="D184" s="6" t="str">
        <f t="shared" si="6"/>
        <v>09/22/2023</v>
      </c>
      <c r="E184" s="6" t="str">
        <f t="shared" si="7"/>
        <v>RGUSHSBT Index</v>
      </c>
      <c r="F184" s="5">
        <f t="shared" si="8"/>
        <v>-1.1237552402237521E-2</v>
      </c>
    </row>
    <row r="185" spans="1:6" x14ac:dyDescent="0.35">
      <c r="A185" s="10">
        <v>45194</v>
      </c>
      <c r="B185" s="9">
        <v>-1.6661706830196351E-2</v>
      </c>
      <c r="D185" s="6" t="str">
        <f t="shared" si="6"/>
        <v>09/25/2023</v>
      </c>
      <c r="E185" s="6" t="str">
        <f t="shared" si="7"/>
        <v>RGUSHSBT Index</v>
      </c>
      <c r="F185" s="5">
        <f t="shared" si="8"/>
        <v>-1.6661706830196351E-2</v>
      </c>
    </row>
    <row r="186" spans="1:6" x14ac:dyDescent="0.35">
      <c r="A186" s="8">
        <v>45195</v>
      </c>
      <c r="B186" s="7">
        <v>1.0119488857000933E-2</v>
      </c>
      <c r="D186" s="6" t="str">
        <f t="shared" si="6"/>
        <v>09/26/2023</v>
      </c>
      <c r="E186" s="6" t="str">
        <f t="shared" si="7"/>
        <v>RGUSHSBT Index</v>
      </c>
      <c r="F186" s="5">
        <f t="shared" si="8"/>
        <v>1.0119488857000933E-2</v>
      </c>
    </row>
    <row r="187" spans="1:6" x14ac:dyDescent="0.35">
      <c r="A187" s="10">
        <v>45196</v>
      </c>
      <c r="B187" s="9">
        <v>1.1516114481152097E-2</v>
      </c>
      <c r="D187" s="6" t="str">
        <f t="shared" si="6"/>
        <v>09/27/2023</v>
      </c>
      <c r="E187" s="6" t="str">
        <f t="shared" si="7"/>
        <v>RGUSHSBT Index</v>
      </c>
      <c r="F187" s="5">
        <f t="shared" si="8"/>
        <v>1.1516114481152097E-2</v>
      </c>
    </row>
    <row r="188" spans="1:6" x14ac:dyDescent="0.35">
      <c r="A188" s="8">
        <v>45197</v>
      </c>
      <c r="B188" s="7">
        <v>-2.7522355674031414E-3</v>
      </c>
      <c r="D188" s="6" t="str">
        <f t="shared" si="6"/>
        <v>09/28/2023</v>
      </c>
      <c r="E188" s="6" t="str">
        <f t="shared" si="7"/>
        <v>RGUSHSBT Index</v>
      </c>
      <c r="F188" s="5">
        <f t="shared" si="8"/>
        <v>-2.7522355674031414E-3</v>
      </c>
    </row>
    <row r="189" spans="1:6" x14ac:dyDescent="0.35">
      <c r="A189" s="10">
        <v>45198</v>
      </c>
      <c r="B189" s="9">
        <v>-9.6710895159783285E-3</v>
      </c>
      <c r="D189" s="6" t="str">
        <f t="shared" si="6"/>
        <v>09/29/2023</v>
      </c>
      <c r="E189" s="6" t="str">
        <f t="shared" si="7"/>
        <v>RGUSHSBT Index</v>
      </c>
      <c r="F189" s="5">
        <f t="shared" si="8"/>
        <v>-9.6710895159783285E-3</v>
      </c>
    </row>
    <row r="190" spans="1:6" x14ac:dyDescent="0.35">
      <c r="A190" s="8">
        <v>45201</v>
      </c>
      <c r="B190" s="7">
        <v>-3.6905492017064404E-2</v>
      </c>
      <c r="D190" s="6" t="str">
        <f t="shared" si="6"/>
        <v>10/02/2023</v>
      </c>
      <c r="E190" s="6" t="str">
        <f t="shared" si="7"/>
        <v>RGUSHSBT Index</v>
      </c>
      <c r="F190" s="5">
        <f t="shared" si="8"/>
        <v>-3.6905492017064404E-2</v>
      </c>
    </row>
    <row r="191" spans="1:6" x14ac:dyDescent="0.35">
      <c r="A191" s="10">
        <v>45202</v>
      </c>
      <c r="B191" s="9">
        <v>-5.9270974017340628E-3</v>
      </c>
      <c r="D191" s="6" t="str">
        <f t="shared" si="6"/>
        <v>10/03/2023</v>
      </c>
      <c r="E191" s="6" t="str">
        <f t="shared" si="7"/>
        <v>RGUSHSBT Index</v>
      </c>
      <c r="F191" s="5">
        <f t="shared" si="8"/>
        <v>-5.9270974017340628E-3</v>
      </c>
    </row>
    <row r="192" spans="1:6" x14ac:dyDescent="0.35">
      <c r="A192" s="8">
        <v>45203</v>
      </c>
      <c r="B192" s="7">
        <v>-1.0031255279608043E-2</v>
      </c>
      <c r="D192" s="6" t="str">
        <f t="shared" si="6"/>
        <v>10/04/2023</v>
      </c>
      <c r="E192" s="6" t="str">
        <f t="shared" si="7"/>
        <v>RGUSHSBT Index</v>
      </c>
      <c r="F192" s="5">
        <f t="shared" si="8"/>
        <v>-1.0031255279608043E-2</v>
      </c>
    </row>
    <row r="193" spans="1:6" x14ac:dyDescent="0.35">
      <c r="A193" s="10">
        <v>45204</v>
      </c>
      <c r="B193" s="9">
        <v>2.907964815723417E-2</v>
      </c>
      <c r="D193" s="6" t="str">
        <f t="shared" si="6"/>
        <v>10/05/2023</v>
      </c>
      <c r="E193" s="6" t="str">
        <f t="shared" si="7"/>
        <v>RGUSHSBT Index</v>
      </c>
      <c r="F193" s="5">
        <f t="shared" si="8"/>
        <v>2.907964815723417E-2</v>
      </c>
    </row>
    <row r="194" spans="1:6" x14ac:dyDescent="0.35">
      <c r="A194" s="8">
        <v>45205</v>
      </c>
      <c r="B194" s="7">
        <v>1.1712231508322344E-3</v>
      </c>
      <c r="D194" s="6" t="str">
        <f t="shared" si="6"/>
        <v>10/06/2023</v>
      </c>
      <c r="E194" s="6" t="str">
        <f t="shared" si="7"/>
        <v>RGUSHSBT Index</v>
      </c>
      <c r="F194" s="5">
        <f t="shared" si="8"/>
        <v>1.1712231508322344E-3</v>
      </c>
    </row>
    <row r="195" spans="1:6" x14ac:dyDescent="0.35">
      <c r="A195" s="10">
        <v>45208</v>
      </c>
      <c r="B195" s="9">
        <v>-7.5712609565877758E-3</v>
      </c>
      <c r="D195" s="6" t="str">
        <f t="shared" ref="D195:D258" si="9">IF(A195 =  "", "",  TEXT(A195, "mm/dd/yyyy"))</f>
        <v>10/09/2023</v>
      </c>
      <c r="E195" s="6" t="str">
        <f t="shared" ref="E195:E258" si="10">IF(A195="", "", EntityLocal)</f>
        <v>RGUSHSBT Index</v>
      </c>
      <c r="F195" s="5">
        <f t="shared" ref="F195:F258" si="11">IF(B195="","", B195)</f>
        <v>-7.5712609565877758E-3</v>
      </c>
    </row>
    <row r="196" spans="1:6" x14ac:dyDescent="0.35">
      <c r="A196" s="8">
        <v>45209</v>
      </c>
      <c r="B196" s="7">
        <v>6.825784287134859E-3</v>
      </c>
      <c r="D196" s="6" t="str">
        <f t="shared" si="9"/>
        <v>10/10/2023</v>
      </c>
      <c r="E196" s="6" t="str">
        <f t="shared" si="10"/>
        <v>RGUSHSBT Index</v>
      </c>
      <c r="F196" s="5">
        <f t="shared" si="11"/>
        <v>6.825784287134859E-3</v>
      </c>
    </row>
    <row r="197" spans="1:6" x14ac:dyDescent="0.35">
      <c r="A197" s="10">
        <v>45210</v>
      </c>
      <c r="B197" s="9">
        <v>-1.7102459341942117E-2</v>
      </c>
      <c r="D197" s="6" t="str">
        <f t="shared" si="9"/>
        <v>10/11/2023</v>
      </c>
      <c r="E197" s="6" t="str">
        <f t="shared" si="10"/>
        <v>RGUSHSBT Index</v>
      </c>
      <c r="F197" s="5">
        <f t="shared" si="11"/>
        <v>-1.7102459341942117E-2</v>
      </c>
    </row>
    <row r="198" spans="1:6" x14ac:dyDescent="0.35">
      <c r="A198" s="8">
        <v>45211</v>
      </c>
      <c r="B198" s="7">
        <v>-4.5703222451396089E-2</v>
      </c>
      <c r="D198" s="6" t="str">
        <f t="shared" si="9"/>
        <v>10/12/2023</v>
      </c>
      <c r="E198" s="6" t="str">
        <f t="shared" si="10"/>
        <v>RGUSHSBT Index</v>
      </c>
      <c r="F198" s="5">
        <f t="shared" si="11"/>
        <v>-4.5703222451396089E-2</v>
      </c>
    </row>
    <row r="199" spans="1:6" x14ac:dyDescent="0.35">
      <c r="A199" s="10">
        <v>45212</v>
      </c>
      <c r="B199" s="9">
        <v>1.3634522626017066E-2</v>
      </c>
      <c r="D199" s="6" t="str">
        <f t="shared" si="9"/>
        <v>10/13/2023</v>
      </c>
      <c r="E199" s="6" t="str">
        <f t="shared" si="10"/>
        <v>RGUSHSBT Index</v>
      </c>
      <c r="F199" s="5">
        <f t="shared" si="11"/>
        <v>1.3634522626017066E-2</v>
      </c>
    </row>
    <row r="200" spans="1:6" x14ac:dyDescent="0.35">
      <c r="A200" s="8">
        <v>45215</v>
      </c>
      <c r="B200" s="7">
        <v>1.2873556537943229E-2</v>
      </c>
      <c r="D200" s="6" t="str">
        <f t="shared" si="9"/>
        <v>10/16/2023</v>
      </c>
      <c r="E200" s="6" t="str">
        <f t="shared" si="10"/>
        <v>RGUSHSBT Index</v>
      </c>
      <c r="F200" s="5">
        <f t="shared" si="11"/>
        <v>1.2873556537943229E-2</v>
      </c>
    </row>
    <row r="201" spans="1:6" x14ac:dyDescent="0.35">
      <c r="A201" s="10">
        <v>45216</v>
      </c>
      <c r="B201" s="9">
        <v>3.5504613806641038E-4</v>
      </c>
      <c r="D201" s="6" t="str">
        <f t="shared" si="9"/>
        <v>10/17/2023</v>
      </c>
      <c r="E201" s="6" t="str">
        <f t="shared" si="10"/>
        <v>RGUSHSBT Index</v>
      </c>
      <c r="F201" s="5">
        <f t="shared" si="11"/>
        <v>3.5504613806641038E-4</v>
      </c>
    </row>
    <row r="202" spans="1:6" x14ac:dyDescent="0.35">
      <c r="A202" s="8">
        <v>45217</v>
      </c>
      <c r="B202" s="7">
        <v>-2.8597957954512854E-2</v>
      </c>
      <c r="D202" s="6" t="str">
        <f t="shared" si="9"/>
        <v>10/18/2023</v>
      </c>
      <c r="E202" s="6" t="str">
        <f t="shared" si="10"/>
        <v>RGUSHSBT Index</v>
      </c>
      <c r="F202" s="5">
        <f t="shared" si="11"/>
        <v>-2.8597957954512854E-2</v>
      </c>
    </row>
    <row r="203" spans="1:6" x14ac:dyDescent="0.35">
      <c r="A203" s="10">
        <v>45218</v>
      </c>
      <c r="B203" s="9">
        <v>-2.3058839160168151E-2</v>
      </c>
      <c r="D203" s="6" t="str">
        <f t="shared" si="9"/>
        <v>10/19/2023</v>
      </c>
      <c r="E203" s="6" t="str">
        <f t="shared" si="10"/>
        <v>RGUSHSBT Index</v>
      </c>
      <c r="F203" s="5">
        <f t="shared" si="11"/>
        <v>-2.3058839160168151E-2</v>
      </c>
    </row>
    <row r="204" spans="1:6" x14ac:dyDescent="0.35">
      <c r="A204" s="8">
        <v>45219</v>
      </c>
      <c r="B204" s="7">
        <v>-3.8154817895742557E-3</v>
      </c>
      <c r="D204" s="6" t="str">
        <f t="shared" si="9"/>
        <v>10/20/2023</v>
      </c>
      <c r="E204" s="6" t="str">
        <f t="shared" si="10"/>
        <v>RGUSHSBT Index</v>
      </c>
      <c r="F204" s="5">
        <f t="shared" si="11"/>
        <v>-3.8154817895742557E-3</v>
      </c>
    </row>
    <row r="205" spans="1:6" x14ac:dyDescent="0.35">
      <c r="A205" s="10">
        <v>45222</v>
      </c>
      <c r="B205" s="9">
        <v>-2.4311625666948597E-2</v>
      </c>
      <c r="D205" s="6" t="str">
        <f t="shared" si="9"/>
        <v>10/23/2023</v>
      </c>
      <c r="E205" s="6" t="str">
        <f t="shared" si="10"/>
        <v>RGUSHSBT Index</v>
      </c>
      <c r="F205" s="5">
        <f t="shared" si="11"/>
        <v>-2.4311625666948597E-2</v>
      </c>
    </row>
    <row r="206" spans="1:6" x14ac:dyDescent="0.35">
      <c r="A206" s="8">
        <v>45223</v>
      </c>
      <c r="B206" s="7">
        <v>2.7610867114928665E-2</v>
      </c>
      <c r="D206" s="6" t="str">
        <f t="shared" si="9"/>
        <v>10/24/2023</v>
      </c>
      <c r="E206" s="6" t="str">
        <f t="shared" si="10"/>
        <v>RGUSHSBT Index</v>
      </c>
      <c r="F206" s="5">
        <f t="shared" si="11"/>
        <v>2.7610867114928665E-2</v>
      </c>
    </row>
    <row r="207" spans="1:6" x14ac:dyDescent="0.35">
      <c r="A207" s="10">
        <v>45224</v>
      </c>
      <c r="B207" s="9">
        <v>-2.2943031990135882E-2</v>
      </c>
      <c r="D207" s="6" t="str">
        <f t="shared" si="9"/>
        <v>10/25/2023</v>
      </c>
      <c r="E207" s="6" t="str">
        <f t="shared" si="10"/>
        <v>RGUSHSBT Index</v>
      </c>
      <c r="F207" s="5">
        <f t="shared" si="11"/>
        <v>-2.2943031990135882E-2</v>
      </c>
    </row>
    <row r="208" spans="1:6" x14ac:dyDescent="0.35">
      <c r="A208" s="8">
        <v>45225</v>
      </c>
      <c r="B208" s="7">
        <v>9.2363197175682355E-3</v>
      </c>
      <c r="D208" s="6" t="str">
        <f t="shared" si="9"/>
        <v>10/26/2023</v>
      </c>
      <c r="E208" s="6" t="str">
        <f t="shared" si="10"/>
        <v>RGUSHSBT Index</v>
      </c>
      <c r="F208" s="5">
        <f t="shared" si="11"/>
        <v>9.2363197175682355E-3</v>
      </c>
    </row>
    <row r="209" spans="1:6" x14ac:dyDescent="0.35">
      <c r="A209" s="10">
        <v>45226</v>
      </c>
      <c r="B209" s="9">
        <v>-3.0366608620940982E-2</v>
      </c>
      <c r="D209" s="6" t="str">
        <f t="shared" si="9"/>
        <v>10/27/2023</v>
      </c>
      <c r="E209" s="6" t="str">
        <f t="shared" si="10"/>
        <v>RGUSHSBT Index</v>
      </c>
      <c r="F209" s="5">
        <f t="shared" si="11"/>
        <v>-3.0366608620940982E-2</v>
      </c>
    </row>
    <row r="210" spans="1:6" x14ac:dyDescent="0.35">
      <c r="A210" s="8">
        <v>45229</v>
      </c>
      <c r="B210" s="7">
        <v>2.0838854891474305E-2</v>
      </c>
      <c r="D210" s="6" t="str">
        <f t="shared" si="9"/>
        <v>10/30/2023</v>
      </c>
      <c r="E210" s="6" t="str">
        <f t="shared" si="10"/>
        <v>RGUSHSBT Index</v>
      </c>
      <c r="F210" s="5">
        <f t="shared" si="11"/>
        <v>2.0838854891474305E-2</v>
      </c>
    </row>
    <row r="211" spans="1:6" x14ac:dyDescent="0.35">
      <c r="A211" s="10">
        <v>45230</v>
      </c>
      <c r="B211" s="9">
        <v>2.5210702729932359E-2</v>
      </c>
      <c r="D211" s="6" t="str">
        <f t="shared" si="9"/>
        <v>10/31/2023</v>
      </c>
      <c r="E211" s="6" t="str">
        <f t="shared" si="10"/>
        <v>RGUSHSBT Index</v>
      </c>
      <c r="F211" s="5">
        <f t="shared" si="11"/>
        <v>2.5210702729932359E-2</v>
      </c>
    </row>
    <row r="212" spans="1:6" x14ac:dyDescent="0.35">
      <c r="A212" s="8">
        <v>45231</v>
      </c>
      <c r="B212" s="7">
        <v>1.4669030241409657E-2</v>
      </c>
      <c r="D212" s="6" t="str">
        <f t="shared" si="9"/>
        <v>11/01/2023</v>
      </c>
      <c r="E212" s="6" t="str">
        <f t="shared" si="10"/>
        <v>RGUSHSBT Index</v>
      </c>
      <c r="F212" s="5">
        <f t="shared" si="11"/>
        <v>1.4669030241409657E-2</v>
      </c>
    </row>
    <row r="213" spans="1:6" x14ac:dyDescent="0.35">
      <c r="A213" s="10">
        <v>45232</v>
      </c>
      <c r="B213" s="9">
        <v>1.829749824922142E-2</v>
      </c>
      <c r="D213" s="6" t="str">
        <f t="shared" si="9"/>
        <v>11/02/2023</v>
      </c>
      <c r="E213" s="6" t="str">
        <f t="shared" si="10"/>
        <v>RGUSHSBT Index</v>
      </c>
      <c r="F213" s="5">
        <f t="shared" si="11"/>
        <v>1.829749824922142E-2</v>
      </c>
    </row>
    <row r="214" spans="1:6" x14ac:dyDescent="0.35">
      <c r="A214" s="8">
        <v>45233</v>
      </c>
      <c r="B214" s="7">
        <v>5.4871892421825844E-2</v>
      </c>
      <c r="D214" s="6" t="str">
        <f t="shared" si="9"/>
        <v>11/03/2023</v>
      </c>
      <c r="E214" s="6" t="str">
        <f t="shared" si="10"/>
        <v>RGUSHSBT Index</v>
      </c>
      <c r="F214" s="5">
        <f t="shared" si="11"/>
        <v>5.4871892421825844E-2</v>
      </c>
    </row>
    <row r="215" spans="1:6" x14ac:dyDescent="0.35">
      <c r="A215" s="10">
        <v>45236</v>
      </c>
      <c r="B215" s="9">
        <v>-2.9629218626458249E-2</v>
      </c>
      <c r="D215" s="6" t="str">
        <f t="shared" si="9"/>
        <v>11/06/2023</v>
      </c>
      <c r="E215" s="6" t="str">
        <f t="shared" si="10"/>
        <v>RGUSHSBT Index</v>
      </c>
      <c r="F215" s="5">
        <f t="shared" si="11"/>
        <v>-2.9629218626458249E-2</v>
      </c>
    </row>
    <row r="216" spans="1:6" x14ac:dyDescent="0.35">
      <c r="A216" s="8">
        <v>45237</v>
      </c>
      <c r="B216" s="7">
        <v>1.635337002358667E-2</v>
      </c>
      <c r="D216" s="6" t="str">
        <f t="shared" si="9"/>
        <v>11/07/2023</v>
      </c>
      <c r="E216" s="6" t="str">
        <f t="shared" si="10"/>
        <v>RGUSHSBT Index</v>
      </c>
      <c r="F216" s="5">
        <f t="shared" si="11"/>
        <v>1.635337002358667E-2</v>
      </c>
    </row>
    <row r="217" spans="1:6" x14ac:dyDescent="0.35">
      <c r="A217" s="10">
        <v>45238</v>
      </c>
      <c r="B217" s="9">
        <v>-2.9385082771909647E-2</v>
      </c>
      <c r="D217" s="6" t="str">
        <f t="shared" si="9"/>
        <v>11/08/2023</v>
      </c>
      <c r="E217" s="6" t="str">
        <f t="shared" si="10"/>
        <v>RGUSHSBT Index</v>
      </c>
      <c r="F217" s="5">
        <f t="shared" si="11"/>
        <v>-2.9385082771909647E-2</v>
      </c>
    </row>
    <row r="218" spans="1:6" x14ac:dyDescent="0.35">
      <c r="A218" s="8">
        <v>45239</v>
      </c>
      <c r="B218" s="7">
        <v>-5.6205825988356752E-2</v>
      </c>
      <c r="D218" s="6" t="str">
        <f t="shared" si="9"/>
        <v>11/09/2023</v>
      </c>
      <c r="E218" s="6" t="str">
        <f t="shared" si="10"/>
        <v>RGUSHSBT Index</v>
      </c>
      <c r="F218" s="5">
        <f t="shared" si="11"/>
        <v>-5.6205825988356752E-2</v>
      </c>
    </row>
    <row r="219" spans="1:6" x14ac:dyDescent="0.35">
      <c r="A219" s="10">
        <v>45240</v>
      </c>
      <c r="B219" s="9">
        <v>3.0899264559120015E-3</v>
      </c>
      <c r="D219" s="6" t="str">
        <f t="shared" si="9"/>
        <v>11/10/2023</v>
      </c>
      <c r="E219" s="6" t="str">
        <f t="shared" si="10"/>
        <v>RGUSHSBT Index</v>
      </c>
      <c r="F219" s="5">
        <f t="shared" si="11"/>
        <v>3.0899264559120015E-3</v>
      </c>
    </row>
    <row r="220" spans="1:6" x14ac:dyDescent="0.35">
      <c r="A220" s="8">
        <v>45243</v>
      </c>
      <c r="B220" s="7">
        <v>4.0485365191004164E-3</v>
      </c>
      <c r="D220" s="6" t="str">
        <f t="shared" si="9"/>
        <v>11/13/2023</v>
      </c>
      <c r="E220" s="6" t="str">
        <f t="shared" si="10"/>
        <v>RGUSHSBT Index</v>
      </c>
      <c r="F220" s="5">
        <f t="shared" si="11"/>
        <v>4.0485365191004164E-3</v>
      </c>
    </row>
    <row r="221" spans="1:6" x14ac:dyDescent="0.35">
      <c r="A221" s="10">
        <v>45244</v>
      </c>
      <c r="B221" s="9">
        <v>6.6291394009611787E-2</v>
      </c>
      <c r="D221" s="6" t="str">
        <f t="shared" si="9"/>
        <v>11/14/2023</v>
      </c>
      <c r="E221" s="6" t="str">
        <f t="shared" si="10"/>
        <v>RGUSHSBT Index</v>
      </c>
      <c r="F221" s="5">
        <f t="shared" si="11"/>
        <v>6.6291394009611787E-2</v>
      </c>
    </row>
    <row r="222" spans="1:6" x14ac:dyDescent="0.35">
      <c r="A222" s="8">
        <v>45245</v>
      </c>
      <c r="B222" s="7">
        <v>2.7307072317276273E-3</v>
      </c>
      <c r="D222" s="6" t="str">
        <f t="shared" si="9"/>
        <v>11/15/2023</v>
      </c>
      <c r="E222" s="6" t="str">
        <f t="shared" si="10"/>
        <v>RGUSHSBT Index</v>
      </c>
      <c r="F222" s="5">
        <f t="shared" si="11"/>
        <v>2.7307072317276273E-3</v>
      </c>
    </row>
    <row r="223" spans="1:6" x14ac:dyDescent="0.35">
      <c r="A223" s="10">
        <v>45246</v>
      </c>
      <c r="B223" s="9">
        <v>-1.4910263950524846E-2</v>
      </c>
      <c r="D223" s="6" t="str">
        <f t="shared" si="9"/>
        <v>11/16/2023</v>
      </c>
      <c r="E223" s="6" t="str">
        <f t="shared" si="10"/>
        <v>RGUSHSBT Index</v>
      </c>
      <c r="F223" s="5">
        <f t="shared" si="11"/>
        <v>-1.4910263950524846E-2</v>
      </c>
    </row>
    <row r="224" spans="1:6" x14ac:dyDescent="0.35">
      <c r="A224" s="8">
        <v>45247</v>
      </c>
      <c r="B224" s="7">
        <v>3.8663057873368954E-2</v>
      </c>
      <c r="D224" s="6" t="str">
        <f t="shared" si="9"/>
        <v>11/17/2023</v>
      </c>
      <c r="E224" s="6" t="str">
        <f t="shared" si="10"/>
        <v>RGUSHSBT Index</v>
      </c>
      <c r="F224" s="5">
        <f t="shared" si="11"/>
        <v>3.8663057873368954E-2</v>
      </c>
    </row>
    <row r="225" spans="1:6" x14ac:dyDescent="0.35">
      <c r="A225" s="10">
        <v>45250</v>
      </c>
      <c r="B225" s="9">
        <v>1.215480391712867E-2</v>
      </c>
      <c r="D225" s="6" t="str">
        <f t="shared" si="9"/>
        <v>11/20/2023</v>
      </c>
      <c r="E225" s="6" t="str">
        <f t="shared" si="10"/>
        <v>RGUSHSBT Index</v>
      </c>
      <c r="F225" s="5">
        <f t="shared" si="11"/>
        <v>1.215480391712867E-2</v>
      </c>
    </row>
    <row r="226" spans="1:6" x14ac:dyDescent="0.35">
      <c r="A226" s="8">
        <v>45251</v>
      </c>
      <c r="B226" s="7">
        <v>-2.5421978687666977E-2</v>
      </c>
      <c r="D226" s="6" t="str">
        <f t="shared" si="9"/>
        <v>11/21/2023</v>
      </c>
      <c r="E226" s="6" t="str">
        <f t="shared" si="10"/>
        <v>RGUSHSBT Index</v>
      </c>
      <c r="F226" s="5">
        <f t="shared" si="11"/>
        <v>-2.5421978687666977E-2</v>
      </c>
    </row>
    <row r="227" spans="1:6" x14ac:dyDescent="0.35">
      <c r="A227" s="10">
        <v>45252</v>
      </c>
      <c r="B227" s="9">
        <v>1.0344340455588897E-2</v>
      </c>
      <c r="D227" s="6" t="str">
        <f t="shared" si="9"/>
        <v>11/22/2023</v>
      </c>
      <c r="E227" s="6" t="str">
        <f t="shared" si="10"/>
        <v>RGUSHSBT Index</v>
      </c>
      <c r="F227" s="5">
        <f t="shared" si="11"/>
        <v>1.0344340455588897E-2</v>
      </c>
    </row>
    <row r="228" spans="1:6" x14ac:dyDescent="0.35">
      <c r="A228" s="8">
        <v>45254</v>
      </c>
      <c r="B228" s="7">
        <v>1.6488452490396033E-2</v>
      </c>
      <c r="D228" s="6" t="str">
        <f t="shared" si="9"/>
        <v>11/24/2023</v>
      </c>
      <c r="E228" s="6" t="str">
        <f t="shared" si="10"/>
        <v>RGUSHSBT Index</v>
      </c>
      <c r="F228" s="5">
        <f t="shared" si="11"/>
        <v>1.6488452490396033E-2</v>
      </c>
    </row>
    <row r="229" spans="1:6" x14ac:dyDescent="0.35">
      <c r="A229" s="10">
        <v>45257</v>
      </c>
      <c r="B229" s="9">
        <v>-6.134884936519122E-3</v>
      </c>
      <c r="D229" s="6" t="str">
        <f t="shared" si="9"/>
        <v>11/27/2023</v>
      </c>
      <c r="E229" s="6" t="str">
        <f t="shared" si="10"/>
        <v>RGUSHSBT Index</v>
      </c>
      <c r="F229" s="5">
        <f t="shared" si="11"/>
        <v>-6.134884936519122E-3</v>
      </c>
    </row>
    <row r="230" spans="1:6" x14ac:dyDescent="0.35">
      <c r="A230" s="8">
        <v>45258</v>
      </c>
      <c r="B230" s="7">
        <v>-1.9618562551036198E-3</v>
      </c>
      <c r="D230" s="6" t="str">
        <f t="shared" si="9"/>
        <v>11/28/2023</v>
      </c>
      <c r="E230" s="6" t="str">
        <f t="shared" si="10"/>
        <v>RGUSHSBT Index</v>
      </c>
      <c r="F230" s="5">
        <f t="shared" si="11"/>
        <v>-1.9618562551036198E-3</v>
      </c>
    </row>
    <row r="231" spans="1:6" x14ac:dyDescent="0.35">
      <c r="A231" s="10">
        <v>45259</v>
      </c>
      <c r="B231" s="9">
        <v>1.1076635060410225E-2</v>
      </c>
      <c r="D231" s="6" t="str">
        <f t="shared" si="9"/>
        <v>11/29/2023</v>
      </c>
      <c r="E231" s="6" t="str">
        <f t="shared" si="10"/>
        <v>RGUSHSBT Index</v>
      </c>
      <c r="F231" s="5">
        <f t="shared" si="11"/>
        <v>1.1076635060410225E-2</v>
      </c>
    </row>
    <row r="232" spans="1:6" x14ac:dyDescent="0.35">
      <c r="A232" s="8">
        <v>45260</v>
      </c>
      <c r="B232" s="7">
        <v>2.7311068440543169E-2</v>
      </c>
      <c r="D232" s="6" t="str">
        <f t="shared" si="9"/>
        <v>11/30/2023</v>
      </c>
      <c r="E232" s="6" t="str">
        <f t="shared" si="10"/>
        <v>RGUSHSBT Index</v>
      </c>
      <c r="F232" s="5">
        <f t="shared" si="11"/>
        <v>2.7311068440543169E-2</v>
      </c>
    </row>
    <row r="233" spans="1:6" x14ac:dyDescent="0.35">
      <c r="A233" s="10">
        <v>45261</v>
      </c>
      <c r="B233" s="9">
        <v>3.3290499157223603E-2</v>
      </c>
      <c r="D233" s="6" t="str">
        <f t="shared" si="9"/>
        <v>12/01/2023</v>
      </c>
      <c r="E233" s="6" t="str">
        <f t="shared" si="10"/>
        <v>RGUSHSBT Index</v>
      </c>
      <c r="F233" s="5">
        <f t="shared" si="11"/>
        <v>3.3290499157223603E-2</v>
      </c>
    </row>
    <row r="234" spans="1:6" x14ac:dyDescent="0.35">
      <c r="A234" s="8">
        <v>45264</v>
      </c>
      <c r="B234" s="7">
        <v>1.7042499652754294E-2</v>
      </c>
      <c r="D234" s="6" t="str">
        <f t="shared" si="9"/>
        <v>12/04/2023</v>
      </c>
      <c r="E234" s="6" t="str">
        <f t="shared" si="10"/>
        <v>RGUSHSBT Index</v>
      </c>
      <c r="F234" s="5">
        <f t="shared" si="11"/>
        <v>1.7042499652754294E-2</v>
      </c>
    </row>
    <row r="235" spans="1:6" x14ac:dyDescent="0.35">
      <c r="A235" s="10">
        <v>45265</v>
      </c>
      <c r="B235" s="9">
        <v>-6.6506804719633017E-3</v>
      </c>
      <c r="D235" s="6" t="str">
        <f t="shared" si="9"/>
        <v>12/05/2023</v>
      </c>
      <c r="E235" s="6" t="str">
        <f t="shared" si="10"/>
        <v>RGUSHSBT Index</v>
      </c>
      <c r="F235" s="5">
        <f t="shared" si="11"/>
        <v>-6.6506804719633017E-3</v>
      </c>
    </row>
    <row r="236" spans="1:6" x14ac:dyDescent="0.35">
      <c r="A236" s="8">
        <v>45266</v>
      </c>
      <c r="B236" s="7">
        <v>1.2591083926704305E-2</v>
      </c>
      <c r="D236" s="6" t="str">
        <f t="shared" si="9"/>
        <v>12/06/2023</v>
      </c>
      <c r="E236" s="6" t="str">
        <f t="shared" si="10"/>
        <v>RGUSHSBT Index</v>
      </c>
      <c r="F236" s="5">
        <f t="shared" si="11"/>
        <v>1.2591083926704305E-2</v>
      </c>
    </row>
    <row r="237" spans="1:6" x14ac:dyDescent="0.35">
      <c r="A237" s="10">
        <v>45267</v>
      </c>
      <c r="B237" s="9">
        <v>1.6132037044638649E-2</v>
      </c>
      <c r="D237" s="6" t="str">
        <f t="shared" si="9"/>
        <v>12/07/2023</v>
      </c>
      <c r="E237" s="6" t="str">
        <f t="shared" si="10"/>
        <v>RGUSHSBT Index</v>
      </c>
      <c r="F237" s="5">
        <f t="shared" si="11"/>
        <v>1.6132037044638649E-2</v>
      </c>
    </row>
    <row r="238" spans="1:6" x14ac:dyDescent="0.35">
      <c r="A238" s="8">
        <v>45268</v>
      </c>
      <c r="B238" s="7">
        <v>-8.5392532193108994E-3</v>
      </c>
      <c r="D238" s="6" t="str">
        <f t="shared" si="9"/>
        <v>12/08/2023</v>
      </c>
      <c r="E238" s="6" t="str">
        <f t="shared" si="10"/>
        <v>RGUSHSBT Index</v>
      </c>
      <c r="F238" s="5">
        <f t="shared" si="11"/>
        <v>-8.5392532193108994E-3</v>
      </c>
    </row>
    <row r="239" spans="1:6" x14ac:dyDescent="0.35">
      <c r="A239" s="10">
        <v>45271</v>
      </c>
      <c r="B239" s="9">
        <v>-1.0145427192377576E-2</v>
      </c>
      <c r="D239" s="6" t="str">
        <f t="shared" si="9"/>
        <v>12/11/2023</v>
      </c>
      <c r="E239" s="6" t="str">
        <f t="shared" si="10"/>
        <v>RGUSHSBT Index</v>
      </c>
      <c r="F239" s="5">
        <f t="shared" si="11"/>
        <v>-1.0145427192377576E-2</v>
      </c>
    </row>
    <row r="240" spans="1:6" x14ac:dyDescent="0.35">
      <c r="A240" s="8">
        <v>45272</v>
      </c>
      <c r="B240" s="7">
        <v>1.6293936793710412E-2</v>
      </c>
      <c r="D240" s="6" t="str">
        <f t="shared" si="9"/>
        <v>12/12/2023</v>
      </c>
      <c r="E240" s="6" t="str">
        <f t="shared" si="10"/>
        <v>RGUSHSBT Index</v>
      </c>
      <c r="F240" s="5">
        <f t="shared" si="11"/>
        <v>1.6293936793710412E-2</v>
      </c>
    </row>
    <row r="241" spans="1:6" x14ac:dyDescent="0.35">
      <c r="A241" s="10">
        <v>45273</v>
      </c>
      <c r="B241" s="9">
        <v>5.4372852206910939E-2</v>
      </c>
      <c r="D241" s="6" t="str">
        <f t="shared" si="9"/>
        <v>12/13/2023</v>
      </c>
      <c r="E241" s="6" t="str">
        <f t="shared" si="10"/>
        <v>RGUSHSBT Index</v>
      </c>
      <c r="F241" s="5">
        <f t="shared" si="11"/>
        <v>5.4372852206910939E-2</v>
      </c>
    </row>
    <row r="242" spans="1:6" x14ac:dyDescent="0.35">
      <c r="A242" s="8">
        <v>45274</v>
      </c>
      <c r="B242" s="7">
        <v>2.084976996108396E-2</v>
      </c>
      <c r="D242" s="6" t="str">
        <f t="shared" si="9"/>
        <v>12/14/2023</v>
      </c>
      <c r="E242" s="6" t="str">
        <f t="shared" si="10"/>
        <v>RGUSHSBT Index</v>
      </c>
      <c r="F242" s="5">
        <f t="shared" si="11"/>
        <v>2.084976996108396E-2</v>
      </c>
    </row>
    <row r="243" spans="1:6" x14ac:dyDescent="0.35">
      <c r="A243" s="10">
        <v>45275</v>
      </c>
      <c r="B243" s="9">
        <v>3.9394807758548695E-3</v>
      </c>
      <c r="D243" s="6" t="str">
        <f t="shared" si="9"/>
        <v>12/15/2023</v>
      </c>
      <c r="E243" s="6" t="str">
        <f t="shared" si="10"/>
        <v>RGUSHSBT Index</v>
      </c>
      <c r="F243" s="5">
        <f t="shared" si="11"/>
        <v>3.9394807758548695E-3</v>
      </c>
    </row>
    <row r="244" spans="1:6" x14ac:dyDescent="0.35">
      <c r="A244" s="8">
        <v>45278</v>
      </c>
      <c r="B244" s="7">
        <v>-1.4490915066976575E-2</v>
      </c>
      <c r="D244" s="6" t="str">
        <f t="shared" si="9"/>
        <v>12/18/2023</v>
      </c>
      <c r="E244" s="6" t="str">
        <f t="shared" si="10"/>
        <v>RGUSHSBT Index</v>
      </c>
      <c r="F244" s="5">
        <f t="shared" si="11"/>
        <v>-1.4490915066976575E-2</v>
      </c>
    </row>
    <row r="245" spans="1:6" x14ac:dyDescent="0.35">
      <c r="A245" s="10">
        <v>45279</v>
      </c>
      <c r="B245" s="9">
        <v>3.0408528664880127E-2</v>
      </c>
      <c r="D245" s="6" t="str">
        <f t="shared" si="9"/>
        <v>12/19/2023</v>
      </c>
      <c r="E245" s="6" t="str">
        <f t="shared" si="10"/>
        <v>RGUSHSBT Index</v>
      </c>
      <c r="F245" s="5">
        <f t="shared" si="11"/>
        <v>3.0408528664880127E-2</v>
      </c>
    </row>
    <row r="246" spans="1:6" x14ac:dyDescent="0.35">
      <c r="A246" s="8">
        <v>45280</v>
      </c>
      <c r="B246" s="7">
        <v>-4.1691510082167864E-2</v>
      </c>
      <c r="D246" s="6" t="str">
        <f t="shared" si="9"/>
        <v>12/20/2023</v>
      </c>
      <c r="E246" s="6" t="str">
        <f t="shared" si="10"/>
        <v>RGUSHSBT Index</v>
      </c>
      <c r="F246" s="5">
        <f t="shared" si="11"/>
        <v>-4.1691510082167864E-2</v>
      </c>
    </row>
    <row r="247" spans="1:6" x14ac:dyDescent="0.35">
      <c r="A247" s="10">
        <v>45281</v>
      </c>
      <c r="B247" s="9">
        <v>2.8187792203175004E-2</v>
      </c>
      <c r="D247" s="6" t="str">
        <f t="shared" si="9"/>
        <v>12/21/2023</v>
      </c>
      <c r="E247" s="6" t="str">
        <f t="shared" si="10"/>
        <v>RGUSHSBT Index</v>
      </c>
      <c r="F247" s="5">
        <f t="shared" si="11"/>
        <v>2.8187792203175004E-2</v>
      </c>
    </row>
    <row r="248" spans="1:6" x14ac:dyDescent="0.35">
      <c r="A248" s="8">
        <v>45282</v>
      </c>
      <c r="B248" s="7">
        <v>3.1529870099932016E-2</v>
      </c>
      <c r="D248" s="6" t="str">
        <f t="shared" si="9"/>
        <v>12/22/2023</v>
      </c>
      <c r="E248" s="6" t="str">
        <f t="shared" si="10"/>
        <v>RGUSHSBT Index</v>
      </c>
      <c r="F248" s="5">
        <f t="shared" si="11"/>
        <v>3.1529870099932016E-2</v>
      </c>
    </row>
    <row r="249" spans="1:6" x14ac:dyDescent="0.35">
      <c r="A249" s="10">
        <v>45286</v>
      </c>
      <c r="B249" s="9">
        <v>2.6970931174541374E-2</v>
      </c>
      <c r="D249" s="6" t="str">
        <f t="shared" si="9"/>
        <v>12/26/2023</v>
      </c>
      <c r="E249" s="6" t="str">
        <f t="shared" si="10"/>
        <v>RGUSHSBT Index</v>
      </c>
      <c r="F249" s="5">
        <f t="shared" si="11"/>
        <v>2.6970931174541374E-2</v>
      </c>
    </row>
    <row r="250" spans="1:6" x14ac:dyDescent="0.35">
      <c r="A250" s="8">
        <v>45287</v>
      </c>
      <c r="B250" s="7">
        <v>2.359962244956253E-2</v>
      </c>
      <c r="D250" s="6" t="str">
        <f t="shared" si="9"/>
        <v>12/27/2023</v>
      </c>
      <c r="E250" s="6" t="str">
        <f t="shared" si="10"/>
        <v>RGUSHSBT Index</v>
      </c>
      <c r="F250" s="5">
        <f t="shared" si="11"/>
        <v>2.359962244956253E-2</v>
      </c>
    </row>
    <row r="251" spans="1:6" x14ac:dyDescent="0.35">
      <c r="A251" s="10">
        <v>45288</v>
      </c>
      <c r="B251" s="9">
        <v>-1.2489735828800992E-3</v>
      </c>
      <c r="D251" s="6" t="str">
        <f t="shared" si="9"/>
        <v>12/28/2023</v>
      </c>
      <c r="E251" s="6" t="str">
        <f t="shared" si="10"/>
        <v>RGUSHSBT Index</v>
      </c>
      <c r="F251" s="5">
        <f t="shared" si="11"/>
        <v>-1.2489735828800992E-3</v>
      </c>
    </row>
    <row r="252" spans="1:6" x14ac:dyDescent="0.35">
      <c r="A252" s="8">
        <v>45289</v>
      </c>
      <c r="B252" s="7">
        <v>-2.0639156660165581E-2</v>
      </c>
      <c r="D252" s="6" t="str">
        <f t="shared" si="9"/>
        <v>12/29/2023</v>
      </c>
      <c r="E252" s="6" t="str">
        <f t="shared" si="10"/>
        <v>RGUSHSBT Index</v>
      </c>
      <c r="F252" s="5">
        <f t="shared" si="11"/>
        <v>-2.0639156660165581E-2</v>
      </c>
    </row>
    <row r="253" spans="1:6" x14ac:dyDescent="0.35">
      <c r="A253" s="10">
        <v>45293</v>
      </c>
      <c r="B253" s="9">
        <v>2.8580588021147415E-3</v>
      </c>
      <c r="D253" s="6" t="str">
        <f t="shared" si="9"/>
        <v>01/02/2024</v>
      </c>
      <c r="E253" s="6" t="str">
        <f t="shared" si="10"/>
        <v>RGUSHSBT Index</v>
      </c>
      <c r="F253" s="5">
        <f t="shared" si="11"/>
        <v>2.8580588021147415E-3</v>
      </c>
    </row>
    <row r="254" spans="1:6" x14ac:dyDescent="0.35">
      <c r="A254" s="8">
        <v>45294</v>
      </c>
      <c r="B254" s="7">
        <v>-2.528350138432112E-2</v>
      </c>
      <c r="D254" s="6" t="str">
        <f t="shared" si="9"/>
        <v>01/03/2024</v>
      </c>
      <c r="E254" s="6" t="str">
        <f t="shared" si="10"/>
        <v>RGUSHSBT Index</v>
      </c>
      <c r="F254" s="5">
        <f t="shared" si="11"/>
        <v>-2.528350138432112E-2</v>
      </c>
    </row>
    <row r="255" spans="1:6" x14ac:dyDescent="0.35">
      <c r="A255" s="10">
        <v>45295</v>
      </c>
      <c r="B255" s="9">
        <v>1.5978276880831286E-2</v>
      </c>
      <c r="D255" s="6" t="str">
        <f t="shared" si="9"/>
        <v>01/04/2024</v>
      </c>
      <c r="E255" s="6" t="str">
        <f t="shared" si="10"/>
        <v>RGUSHSBT Index</v>
      </c>
      <c r="F255" s="5">
        <f t="shared" si="11"/>
        <v>1.5978276880831286E-2</v>
      </c>
    </row>
    <row r="256" spans="1:6" x14ac:dyDescent="0.35">
      <c r="A256" s="8">
        <v>45296</v>
      </c>
      <c r="B256" s="7">
        <v>-7.8292983176035807E-3</v>
      </c>
      <c r="D256" s="6" t="str">
        <f t="shared" si="9"/>
        <v>01/05/2024</v>
      </c>
      <c r="E256" s="6" t="str">
        <f t="shared" si="10"/>
        <v>RGUSHSBT Index</v>
      </c>
      <c r="F256" s="5">
        <f t="shared" si="11"/>
        <v>-7.8292983176035807E-3</v>
      </c>
    </row>
    <row r="257" spans="1:6" x14ac:dyDescent="0.35">
      <c r="A257" s="10">
        <v>45299</v>
      </c>
      <c r="B257" s="9">
        <v>4.8501742544556158E-2</v>
      </c>
      <c r="D257" s="6" t="str">
        <f t="shared" si="9"/>
        <v>01/08/2024</v>
      </c>
      <c r="E257" s="6" t="str">
        <f t="shared" si="10"/>
        <v>RGUSHSBT Index</v>
      </c>
      <c r="F257" s="5">
        <f t="shared" si="11"/>
        <v>4.8501742544556158E-2</v>
      </c>
    </row>
    <row r="258" spans="1:6" x14ac:dyDescent="0.35">
      <c r="A258" s="8">
        <v>45300</v>
      </c>
      <c r="B258" s="7">
        <v>-1.2201567796275557E-3</v>
      </c>
      <c r="D258" s="6" t="str">
        <f t="shared" si="9"/>
        <v>01/09/2024</v>
      </c>
      <c r="E258" s="6" t="str">
        <f t="shared" si="10"/>
        <v>RGUSHSBT Index</v>
      </c>
      <c r="F258" s="5">
        <f t="shared" si="11"/>
        <v>-1.2201567796275557E-3</v>
      </c>
    </row>
    <row r="259" spans="1:6" x14ac:dyDescent="0.35">
      <c r="A259" s="10">
        <v>45301</v>
      </c>
      <c r="B259" s="9">
        <v>-1.0773666126930235E-2</v>
      </c>
      <c r="D259" s="6" t="str">
        <f t="shared" ref="D259:D322" si="12">IF(A259 =  "", "",  TEXT(A259, "mm/dd/yyyy"))</f>
        <v>01/10/2024</v>
      </c>
      <c r="E259" s="6" t="str">
        <f t="shared" ref="E259:E280" si="13">IF(A259="", "", EntityLocal)</f>
        <v>RGUSHSBT Index</v>
      </c>
      <c r="F259" s="5">
        <f t="shared" ref="F259:F322" si="14">IF(B259="","", B259)</f>
        <v>-1.0773666126930235E-2</v>
      </c>
    </row>
    <row r="260" spans="1:6" x14ac:dyDescent="0.35">
      <c r="A260" s="8">
        <v>45302</v>
      </c>
      <c r="B260" s="7">
        <v>-2.4571293213351369E-2</v>
      </c>
      <c r="D260" s="6" t="str">
        <f t="shared" si="12"/>
        <v>01/11/2024</v>
      </c>
      <c r="E260" s="6" t="str">
        <f t="shared" si="13"/>
        <v>RGUSHSBT Index</v>
      </c>
      <c r="F260" s="5">
        <f t="shared" si="14"/>
        <v>-2.4571293213351369E-2</v>
      </c>
    </row>
    <row r="261" spans="1:6" x14ac:dyDescent="0.35">
      <c r="A261" s="10">
        <v>45303</v>
      </c>
      <c r="B261" s="9">
        <v>-2.3956932093829714E-3</v>
      </c>
      <c r="D261" s="6" t="str">
        <f t="shared" si="12"/>
        <v>01/12/2024</v>
      </c>
      <c r="E261" s="6" t="str">
        <f t="shared" si="13"/>
        <v>RGUSHSBT Index</v>
      </c>
      <c r="F261" s="5">
        <f t="shared" si="14"/>
        <v>-2.3956932093829714E-3</v>
      </c>
    </row>
    <row r="262" spans="1:6" x14ac:dyDescent="0.35">
      <c r="A262" s="8">
        <v>45307</v>
      </c>
      <c r="B262" s="7">
        <v>-1.3733100300044045E-2</v>
      </c>
      <c r="D262" s="6" t="str">
        <f t="shared" si="12"/>
        <v>01/16/2024</v>
      </c>
      <c r="E262" s="6" t="str">
        <f t="shared" si="13"/>
        <v>RGUSHSBT Index</v>
      </c>
      <c r="F262" s="5">
        <f t="shared" si="14"/>
        <v>-1.3733100300044045E-2</v>
      </c>
    </row>
    <row r="263" spans="1:6" x14ac:dyDescent="0.35">
      <c r="A263" s="10">
        <v>45308</v>
      </c>
      <c r="B263" s="9">
        <v>-7.9397213471181019E-3</v>
      </c>
      <c r="D263" s="6" t="str">
        <f t="shared" si="12"/>
        <v>01/17/2024</v>
      </c>
      <c r="E263" s="6" t="str">
        <f t="shared" si="13"/>
        <v>RGUSHSBT Index</v>
      </c>
      <c r="F263" s="5">
        <f t="shared" si="14"/>
        <v>-7.9397213471181019E-3</v>
      </c>
    </row>
    <row r="264" spans="1:6" x14ac:dyDescent="0.35">
      <c r="A264" s="8">
        <v>45309</v>
      </c>
      <c r="B264" s="7">
        <v>-1.6688610652197563E-2</v>
      </c>
      <c r="D264" s="6" t="str">
        <f t="shared" si="12"/>
        <v>01/18/2024</v>
      </c>
      <c r="E264" s="6" t="str">
        <f t="shared" si="13"/>
        <v>RGUSHSBT Index</v>
      </c>
      <c r="F264" s="5">
        <f t="shared" si="14"/>
        <v>-1.6688610652197563E-2</v>
      </c>
    </row>
    <row r="265" spans="1:6" x14ac:dyDescent="0.35">
      <c r="A265" s="10">
        <v>45310</v>
      </c>
      <c r="B265" s="9">
        <v>9.2108517479290691E-4</v>
      </c>
      <c r="D265" s="6" t="str">
        <f t="shared" si="12"/>
        <v>01/19/2024</v>
      </c>
      <c r="E265" s="6" t="str">
        <f t="shared" si="13"/>
        <v>RGUSHSBT Index</v>
      </c>
      <c r="F265" s="5">
        <f t="shared" si="14"/>
        <v>9.2108517479290691E-4</v>
      </c>
    </row>
    <row r="266" spans="1:6" x14ac:dyDescent="0.35">
      <c r="A266" s="8">
        <v>45313</v>
      </c>
      <c r="B266" s="7">
        <v>2.785706779367363E-2</v>
      </c>
      <c r="D266" s="6" t="str">
        <f t="shared" si="12"/>
        <v>01/22/2024</v>
      </c>
      <c r="E266" s="6" t="str">
        <f t="shared" si="13"/>
        <v>RGUSHSBT Index</v>
      </c>
      <c r="F266" s="5">
        <f t="shared" si="14"/>
        <v>2.785706779367363E-2</v>
      </c>
    </row>
    <row r="267" spans="1:6" x14ac:dyDescent="0.35">
      <c r="A267" s="10">
        <v>45314</v>
      </c>
      <c r="B267" s="9">
        <v>2.0835002804711817E-3</v>
      </c>
      <c r="D267" s="6" t="str">
        <f t="shared" si="12"/>
        <v>01/23/2024</v>
      </c>
      <c r="E267" s="6" t="str">
        <f t="shared" si="13"/>
        <v>RGUSHSBT Index</v>
      </c>
      <c r="F267" s="5">
        <f t="shared" si="14"/>
        <v>2.0835002804711817E-3</v>
      </c>
    </row>
    <row r="268" spans="1:6" x14ac:dyDescent="0.35">
      <c r="A268" s="8">
        <v>45315</v>
      </c>
      <c r="B268" s="7">
        <v>-1.3757255718402259E-2</v>
      </c>
      <c r="D268" s="6" t="str">
        <f t="shared" si="12"/>
        <v>01/24/2024</v>
      </c>
      <c r="E268" s="6" t="str">
        <f t="shared" si="13"/>
        <v>RGUSHSBT Index</v>
      </c>
      <c r="F268" s="5">
        <f t="shared" si="14"/>
        <v>-1.3757255718402259E-2</v>
      </c>
    </row>
    <row r="269" spans="1:6" x14ac:dyDescent="0.35">
      <c r="A269" s="10">
        <v>45316</v>
      </c>
      <c r="B269" s="9">
        <v>1.1111235377010378E-2</v>
      </c>
      <c r="D269" s="6" t="str">
        <f t="shared" si="12"/>
        <v>01/25/2024</v>
      </c>
      <c r="E269" s="6" t="str">
        <f t="shared" si="13"/>
        <v>RGUSHSBT Index</v>
      </c>
      <c r="F269" s="5">
        <f t="shared" si="14"/>
        <v>1.1111235377010378E-2</v>
      </c>
    </row>
    <row r="270" spans="1:6" x14ac:dyDescent="0.35">
      <c r="A270" s="8">
        <v>45317</v>
      </c>
      <c r="B270" s="7">
        <v>-3.5948344993506676E-4</v>
      </c>
      <c r="D270" s="6" t="str">
        <f t="shared" si="12"/>
        <v>01/26/2024</v>
      </c>
      <c r="E270" s="6" t="str">
        <f t="shared" si="13"/>
        <v>RGUSHSBT Index</v>
      </c>
      <c r="F270" s="5">
        <f t="shared" si="14"/>
        <v>-3.5948344993506676E-4</v>
      </c>
    </row>
    <row r="271" spans="1:6" x14ac:dyDescent="0.35">
      <c r="A271" s="10">
        <v>45320</v>
      </c>
      <c r="B271" s="9">
        <v>3.606362378976484E-2</v>
      </c>
      <c r="D271" s="6" t="str">
        <f t="shared" si="12"/>
        <v>01/29/2024</v>
      </c>
      <c r="E271" s="6" t="str">
        <f t="shared" si="13"/>
        <v>RGUSHSBT Index</v>
      </c>
      <c r="F271" s="5">
        <f t="shared" si="14"/>
        <v>3.606362378976484E-2</v>
      </c>
    </row>
    <row r="272" spans="1:6" x14ac:dyDescent="0.35">
      <c r="A272" s="8">
        <v>45321</v>
      </c>
      <c r="B272" s="7">
        <v>-2.4173846642654789E-2</v>
      </c>
      <c r="D272" s="6" t="str">
        <f t="shared" si="12"/>
        <v>01/30/2024</v>
      </c>
      <c r="E272" s="6" t="str">
        <f t="shared" si="13"/>
        <v>RGUSHSBT Index</v>
      </c>
      <c r="F272" s="5">
        <f t="shared" si="14"/>
        <v>-2.4173846642654789E-2</v>
      </c>
    </row>
    <row r="273" spans="1:6" x14ac:dyDescent="0.35">
      <c r="A273" s="10">
        <v>45322</v>
      </c>
      <c r="B273" s="9">
        <v>-1.3409652432534419E-2</v>
      </c>
      <c r="D273" s="6" t="str">
        <f t="shared" si="12"/>
        <v>01/31/2024</v>
      </c>
      <c r="E273" s="6" t="str">
        <f t="shared" si="13"/>
        <v>RGUSHSBT Index</v>
      </c>
      <c r="F273" s="5">
        <f t="shared" si="14"/>
        <v>-1.3409652432534419E-2</v>
      </c>
    </row>
    <row r="274" spans="1:6" x14ac:dyDescent="0.35">
      <c r="A274" s="8">
        <v>45323</v>
      </c>
      <c r="B274" s="7">
        <v>2.4707278788181242E-2</v>
      </c>
      <c r="D274" s="6" t="str">
        <f t="shared" si="12"/>
        <v>02/01/2024</v>
      </c>
      <c r="E274" s="6" t="str">
        <f t="shared" si="13"/>
        <v>RGUSHSBT Index</v>
      </c>
      <c r="F274" s="5">
        <f t="shared" si="14"/>
        <v>2.4707278788181242E-2</v>
      </c>
    </row>
    <row r="275" spans="1:6" x14ac:dyDescent="0.35">
      <c r="A275" s="10">
        <v>45324</v>
      </c>
      <c r="B275" s="9">
        <v>-1.0752629969336201E-2</v>
      </c>
      <c r="D275" s="6" t="str">
        <f t="shared" si="12"/>
        <v>02/02/2024</v>
      </c>
      <c r="E275" s="6" t="str">
        <f t="shared" si="13"/>
        <v>RGUSHSBT Index</v>
      </c>
      <c r="F275" s="5">
        <f t="shared" si="14"/>
        <v>-1.0752629969336201E-2</v>
      </c>
    </row>
    <row r="276" spans="1:6" x14ac:dyDescent="0.35">
      <c r="A276" s="8">
        <v>45327</v>
      </c>
      <c r="B276" s="7">
        <v>4.6673488036156757E-3</v>
      </c>
      <c r="D276" s="6" t="str">
        <f t="shared" si="12"/>
        <v>02/05/2024</v>
      </c>
      <c r="E276" s="6" t="str">
        <f t="shared" si="13"/>
        <v>RGUSHSBT Index</v>
      </c>
      <c r="F276" s="5">
        <f t="shared" si="14"/>
        <v>4.6673488036156757E-3</v>
      </c>
    </row>
    <row r="277" spans="1:6" x14ac:dyDescent="0.35">
      <c r="A277" s="10">
        <v>45328</v>
      </c>
      <c r="B277" s="9">
        <v>1.9628346731150575E-2</v>
      </c>
      <c r="D277" s="6" t="str">
        <f t="shared" si="12"/>
        <v>02/06/2024</v>
      </c>
      <c r="E277" s="6" t="str">
        <f t="shared" si="13"/>
        <v>RGUSHSBT Index</v>
      </c>
      <c r="F277" s="5">
        <f t="shared" si="14"/>
        <v>1.9628346731150575E-2</v>
      </c>
    </row>
    <row r="278" spans="1:6" x14ac:dyDescent="0.35">
      <c r="A278" s="8">
        <v>45329</v>
      </c>
      <c r="B278" s="7">
        <v>-1.7258140329886425E-2</v>
      </c>
      <c r="D278" s="6" t="str">
        <f t="shared" si="12"/>
        <v>02/07/2024</v>
      </c>
      <c r="E278" s="6" t="str">
        <f t="shared" si="13"/>
        <v>RGUSHSBT Index</v>
      </c>
      <c r="F278" s="5">
        <f t="shared" si="14"/>
        <v>-1.7258140329886425E-2</v>
      </c>
    </row>
    <row r="279" spans="1:6" x14ac:dyDescent="0.35">
      <c r="A279" s="10">
        <v>45330</v>
      </c>
      <c r="B279" s="9">
        <v>1.7982444220996298E-2</v>
      </c>
      <c r="D279" s="6" t="str">
        <f t="shared" si="12"/>
        <v>02/08/2024</v>
      </c>
      <c r="E279" s="6" t="str">
        <f t="shared" si="13"/>
        <v>RGUSHSBT Index</v>
      </c>
      <c r="F279" s="5">
        <f t="shared" si="14"/>
        <v>1.7982444220996298E-2</v>
      </c>
    </row>
    <row r="280" spans="1:6" x14ac:dyDescent="0.35">
      <c r="A280" s="8">
        <v>45331</v>
      </c>
      <c r="B280" s="7">
        <v>2.3804883778668261E-2</v>
      </c>
      <c r="D280" s="6" t="str">
        <f t="shared" si="12"/>
        <v>02/09/2024</v>
      </c>
      <c r="E280" s="6" t="str">
        <f t="shared" si="13"/>
        <v>RGUSHSBT Index</v>
      </c>
      <c r="F280" s="5">
        <f t="shared" si="14"/>
        <v>2.3804883778668261E-2</v>
      </c>
    </row>
    <row r="281" spans="1:6" x14ac:dyDescent="0.35">
      <c r="A281" s="10">
        <v>45334</v>
      </c>
      <c r="B281" s="9">
        <v>2.7556427051608285E-2</v>
      </c>
      <c r="D281" s="6" t="str">
        <f t="shared" si="12"/>
        <v>02/12/2024</v>
      </c>
      <c r="E281" s="6" t="str">
        <f t="shared" ref="E281:E344" si="15">IF(A281="", "", EntityLocal)</f>
        <v>RGUSHSBT Index</v>
      </c>
      <c r="F281" s="5">
        <f t="shared" si="14"/>
        <v>2.7556427051608285E-2</v>
      </c>
    </row>
    <row r="282" spans="1:6" x14ac:dyDescent="0.35">
      <c r="A282" s="8">
        <v>45335</v>
      </c>
      <c r="B282" s="7">
        <v>-5.4312409914939339E-2</v>
      </c>
      <c r="D282" s="6" t="str">
        <f t="shared" si="12"/>
        <v>02/13/2024</v>
      </c>
      <c r="E282" s="6" t="str">
        <f t="shared" si="15"/>
        <v>RGUSHSBT Index</v>
      </c>
      <c r="F282" s="5">
        <f t="shared" si="14"/>
        <v>-5.4312409914939339E-2</v>
      </c>
    </row>
    <row r="283" spans="1:6" x14ac:dyDescent="0.35">
      <c r="A283" s="10">
        <v>45336</v>
      </c>
      <c r="B283" s="9">
        <v>3.2739508786617549E-2</v>
      </c>
      <c r="D283" s="6" t="str">
        <f t="shared" si="12"/>
        <v>02/14/2024</v>
      </c>
      <c r="E283" s="6" t="str">
        <f t="shared" si="15"/>
        <v>RGUSHSBT Index</v>
      </c>
      <c r="F283" s="5">
        <f t="shared" si="14"/>
        <v>3.2739508786617549E-2</v>
      </c>
    </row>
    <row r="284" spans="1:6" x14ac:dyDescent="0.35">
      <c r="A284" s="8">
        <v>45337</v>
      </c>
      <c r="B284" s="7">
        <v>2.2805103021799566E-2</v>
      </c>
      <c r="D284" s="6" t="str">
        <f t="shared" si="12"/>
        <v>02/15/2024</v>
      </c>
      <c r="E284" s="6" t="str">
        <f t="shared" si="15"/>
        <v>RGUSHSBT Index</v>
      </c>
      <c r="F284" s="5">
        <f t="shared" si="14"/>
        <v>2.2805103021799566E-2</v>
      </c>
    </row>
    <row r="285" spans="1:6" x14ac:dyDescent="0.35">
      <c r="A285" s="10">
        <v>45338</v>
      </c>
      <c r="B285" s="9">
        <v>-2.1338915322603521E-4</v>
      </c>
      <c r="D285" s="6" t="str">
        <f t="shared" si="12"/>
        <v>02/16/2024</v>
      </c>
      <c r="E285" s="6" t="str">
        <f t="shared" si="15"/>
        <v>RGUSHSBT Index</v>
      </c>
      <c r="F285" s="5">
        <f t="shared" si="14"/>
        <v>-2.1338915322603521E-4</v>
      </c>
    </row>
    <row r="286" spans="1:6" x14ac:dyDescent="0.35">
      <c r="A286" s="8">
        <v>45342</v>
      </c>
      <c r="B286" s="7">
        <v>-1.9008392557227163E-2</v>
      </c>
      <c r="D286" s="6" t="str">
        <f t="shared" si="12"/>
        <v>02/20/2024</v>
      </c>
      <c r="E286" s="6" t="str">
        <f t="shared" si="15"/>
        <v>RGUSHSBT Index</v>
      </c>
      <c r="F286" s="5">
        <f t="shared" si="14"/>
        <v>-1.9008392557227163E-2</v>
      </c>
    </row>
    <row r="287" spans="1:6" x14ac:dyDescent="0.35">
      <c r="A287" s="10">
        <v>45343</v>
      </c>
      <c r="B287" s="9">
        <v>-3.6313529250262852E-3</v>
      </c>
      <c r="D287" s="6" t="str">
        <f t="shared" si="12"/>
        <v>02/21/2024</v>
      </c>
      <c r="E287" s="6" t="str">
        <f t="shared" si="15"/>
        <v>RGUSHSBT Index</v>
      </c>
      <c r="F287" s="5">
        <f t="shared" si="14"/>
        <v>-3.6313529250262852E-3</v>
      </c>
    </row>
    <row r="288" spans="1:6" x14ac:dyDescent="0.35">
      <c r="A288" s="8">
        <v>45344</v>
      </c>
      <c r="B288" s="7">
        <v>1.2038577518976797E-2</v>
      </c>
      <c r="D288" s="6" t="str">
        <f t="shared" si="12"/>
        <v>02/22/2024</v>
      </c>
      <c r="E288" s="6" t="str">
        <f t="shared" si="15"/>
        <v>RGUSHSBT Index</v>
      </c>
      <c r="F288" s="5">
        <f t="shared" si="14"/>
        <v>1.2038577518976797E-2</v>
      </c>
    </row>
    <row r="289" spans="1:6" x14ac:dyDescent="0.35">
      <c r="A289" s="10">
        <v>45345</v>
      </c>
      <c r="B289" s="9">
        <v>5.5508321110884799E-3</v>
      </c>
      <c r="D289" s="6" t="str">
        <f t="shared" si="12"/>
        <v>02/23/2024</v>
      </c>
      <c r="E289" s="6" t="str">
        <f t="shared" si="15"/>
        <v>RGUSHSBT Index</v>
      </c>
      <c r="F289" s="5">
        <f t="shared" si="14"/>
        <v>5.5508321110884799E-3</v>
      </c>
    </row>
    <row r="290" spans="1:6" x14ac:dyDescent="0.35">
      <c r="A290" s="8">
        <v>45348</v>
      </c>
      <c r="B290" s="7">
        <v>3.0712285936158913E-2</v>
      </c>
      <c r="D290" s="6" t="str">
        <f t="shared" si="12"/>
        <v>02/26/2024</v>
      </c>
      <c r="E290" s="6" t="str">
        <f t="shared" si="15"/>
        <v>RGUSHSBT Index</v>
      </c>
      <c r="F290" s="5">
        <f t="shared" si="14"/>
        <v>3.0712285936158913E-2</v>
      </c>
    </row>
    <row r="291" spans="1:6" x14ac:dyDescent="0.35">
      <c r="A291" s="10">
        <v>45349</v>
      </c>
      <c r="B291" s="9">
        <v>6.2042900159853323E-2</v>
      </c>
      <c r="D291" s="6" t="str">
        <f t="shared" si="12"/>
        <v>02/27/2024</v>
      </c>
      <c r="E291" s="6" t="str">
        <f t="shared" si="15"/>
        <v>RGUSHSBT Index</v>
      </c>
      <c r="F291" s="5">
        <f t="shared" si="14"/>
        <v>6.2042900159853323E-2</v>
      </c>
    </row>
    <row r="292" spans="1:6" x14ac:dyDescent="0.35">
      <c r="A292" s="8">
        <v>45350</v>
      </c>
      <c r="B292" s="7">
        <v>-1.7431725740848301E-2</v>
      </c>
      <c r="D292" s="6" t="str">
        <f t="shared" si="12"/>
        <v>02/28/2024</v>
      </c>
      <c r="E292" s="6" t="str">
        <f t="shared" si="15"/>
        <v>RGUSHSBT Index</v>
      </c>
      <c r="F292" s="5">
        <f t="shared" si="14"/>
        <v>-1.7431725740848301E-2</v>
      </c>
    </row>
    <row r="293" spans="1:6" x14ac:dyDescent="0.35">
      <c r="A293" s="10">
        <v>45351</v>
      </c>
      <c r="B293" s="9">
        <v>-2.1096805910810579E-2</v>
      </c>
      <c r="D293" s="6" t="str">
        <f t="shared" si="12"/>
        <v>02/29/2024</v>
      </c>
      <c r="E293" s="6" t="str">
        <f t="shared" si="15"/>
        <v>RGUSHSBT Index</v>
      </c>
      <c r="F293" s="5">
        <f t="shared" si="14"/>
        <v>-2.1096805910810579E-2</v>
      </c>
    </row>
    <row r="294" spans="1:6" x14ac:dyDescent="0.35">
      <c r="A294" s="8">
        <v>45352</v>
      </c>
      <c r="B294" s="7">
        <v>3.3687065719498331E-2</v>
      </c>
      <c r="D294" s="6" t="str">
        <f t="shared" si="12"/>
        <v>03/01/2024</v>
      </c>
      <c r="E294" s="6" t="str">
        <f t="shared" si="15"/>
        <v>RGUSHSBT Index</v>
      </c>
      <c r="F294" s="5">
        <f t="shared" si="14"/>
        <v>3.3687065719498331E-2</v>
      </c>
    </row>
    <row r="295" spans="1:6" x14ac:dyDescent="0.35">
      <c r="A295" s="10">
        <v>45355</v>
      </c>
      <c r="B295" s="9">
        <v>-1.5913214304993716E-2</v>
      </c>
      <c r="D295" s="6" t="str">
        <f t="shared" si="12"/>
        <v>03/04/2024</v>
      </c>
      <c r="E295" s="6" t="str">
        <f t="shared" si="15"/>
        <v>RGUSHSBT Index</v>
      </c>
      <c r="F295" s="5">
        <f t="shared" si="14"/>
        <v>-1.5913214304993716E-2</v>
      </c>
    </row>
    <row r="296" spans="1:6" x14ac:dyDescent="0.35">
      <c r="A296" s="8">
        <v>45356</v>
      </c>
      <c r="B296" s="7">
        <v>-1.1720063632742797E-2</v>
      </c>
      <c r="D296" s="6" t="str">
        <f t="shared" si="12"/>
        <v>03/05/2024</v>
      </c>
      <c r="E296" s="6" t="str">
        <f t="shared" si="15"/>
        <v>RGUSHSBT Index</v>
      </c>
      <c r="F296" s="5">
        <f t="shared" si="14"/>
        <v>-1.1720063632742797E-2</v>
      </c>
    </row>
    <row r="297" spans="1:6" x14ac:dyDescent="0.35">
      <c r="A297" s="10">
        <v>45357</v>
      </c>
      <c r="B297" s="9">
        <v>9.5398523531072081E-3</v>
      </c>
      <c r="D297" s="6" t="str">
        <f t="shared" si="12"/>
        <v>03/06/2024</v>
      </c>
      <c r="E297" s="6" t="str">
        <f t="shared" si="15"/>
        <v>RGUSHSBT Index</v>
      </c>
      <c r="F297" s="5">
        <f t="shared" si="14"/>
        <v>9.5398523531072081E-3</v>
      </c>
    </row>
    <row r="298" spans="1:6" x14ac:dyDescent="0.35">
      <c r="A298" s="8">
        <v>45358</v>
      </c>
      <c r="B298" s="7">
        <v>-1.3138267355134837E-2</v>
      </c>
      <c r="D298" s="6" t="str">
        <f t="shared" si="12"/>
        <v>03/07/2024</v>
      </c>
      <c r="E298" s="6" t="str">
        <f t="shared" si="15"/>
        <v>RGUSHSBT Index</v>
      </c>
      <c r="F298" s="5">
        <f t="shared" si="14"/>
        <v>-1.3138267355134837E-2</v>
      </c>
    </row>
    <row r="299" spans="1:6" x14ac:dyDescent="0.35">
      <c r="A299" s="10">
        <v>45359</v>
      </c>
      <c r="B299" s="9">
        <v>-2.7735790554812264E-3</v>
      </c>
      <c r="D299" s="6" t="str">
        <f t="shared" si="12"/>
        <v>03/08/2024</v>
      </c>
      <c r="E299" s="6" t="str">
        <f t="shared" si="15"/>
        <v>RGUSHSBT Index</v>
      </c>
      <c r="F299" s="5">
        <f t="shared" si="14"/>
        <v>-2.7735790554812264E-3</v>
      </c>
    </row>
    <row r="300" spans="1:6" x14ac:dyDescent="0.35">
      <c r="A300" s="8">
        <v>45362</v>
      </c>
      <c r="B300" s="7">
        <v>-2.8738410266251121E-2</v>
      </c>
      <c r="D300" s="6" t="str">
        <f t="shared" si="12"/>
        <v>03/11/2024</v>
      </c>
      <c r="E300" s="6" t="str">
        <f t="shared" si="15"/>
        <v>RGUSHSBT Index</v>
      </c>
      <c r="F300" s="5">
        <f t="shared" si="14"/>
        <v>-2.8738410266251121E-2</v>
      </c>
    </row>
    <row r="301" spans="1:6" x14ac:dyDescent="0.35">
      <c r="A301" s="10">
        <v>45363</v>
      </c>
      <c r="B301" s="9">
        <v>-5.8322162421720674E-3</v>
      </c>
      <c r="D301" s="6" t="str">
        <f t="shared" si="12"/>
        <v>03/12/2024</v>
      </c>
      <c r="E301" s="6" t="str">
        <f t="shared" si="15"/>
        <v>RGUSHSBT Index</v>
      </c>
      <c r="F301" s="5">
        <f t="shared" si="14"/>
        <v>-5.8322162421720674E-3</v>
      </c>
    </row>
    <row r="302" spans="1:6" x14ac:dyDescent="0.35">
      <c r="A302" s="8">
        <v>45364</v>
      </c>
      <c r="B302" s="7">
        <v>1.195423580434498E-2</v>
      </c>
      <c r="D302" s="6" t="str">
        <f t="shared" si="12"/>
        <v>03/13/2024</v>
      </c>
      <c r="E302" s="6" t="str">
        <f t="shared" si="15"/>
        <v>RGUSHSBT Index</v>
      </c>
      <c r="F302" s="5">
        <f t="shared" si="14"/>
        <v>1.195423580434498E-2</v>
      </c>
    </row>
    <row r="303" spans="1:6" x14ac:dyDescent="0.35">
      <c r="A303" s="10">
        <v>45365</v>
      </c>
      <c r="B303" s="9">
        <v>-3.9657641174540292E-2</v>
      </c>
      <c r="D303" s="6" t="str">
        <f t="shared" si="12"/>
        <v>03/14/2024</v>
      </c>
      <c r="E303" s="6" t="str">
        <f t="shared" si="15"/>
        <v>RGUSHSBT Index</v>
      </c>
      <c r="F303" s="5">
        <f t="shared" si="14"/>
        <v>-3.9657641174540292E-2</v>
      </c>
    </row>
    <row r="304" spans="1:6" x14ac:dyDescent="0.35">
      <c r="A304" s="8">
        <v>45366</v>
      </c>
      <c r="B304" s="7">
        <v>1.2826320489755698E-2</v>
      </c>
      <c r="D304" s="6" t="str">
        <f t="shared" si="12"/>
        <v>03/15/2024</v>
      </c>
      <c r="E304" s="6" t="str">
        <f t="shared" si="15"/>
        <v>RGUSHSBT Index</v>
      </c>
      <c r="F304" s="5">
        <f t="shared" si="14"/>
        <v>1.2826320489755698E-2</v>
      </c>
    </row>
    <row r="305" spans="1:6" x14ac:dyDescent="0.35">
      <c r="A305" s="10">
        <v>45369</v>
      </c>
      <c r="B305" s="9">
        <v>-1.7282183658343317E-2</v>
      </c>
      <c r="D305" s="6" t="str">
        <f t="shared" si="12"/>
        <v>03/18/2024</v>
      </c>
      <c r="E305" s="6" t="str">
        <f t="shared" si="15"/>
        <v>RGUSHSBT Index</v>
      </c>
      <c r="F305" s="5">
        <f t="shared" si="14"/>
        <v>-1.7282183658343317E-2</v>
      </c>
    </row>
    <row r="306" spans="1:6" x14ac:dyDescent="0.35">
      <c r="A306" s="8">
        <v>45370</v>
      </c>
      <c r="B306" s="7">
        <v>1.3411944614936533E-2</v>
      </c>
      <c r="D306" s="6" t="str">
        <f t="shared" si="12"/>
        <v>03/19/2024</v>
      </c>
      <c r="E306" s="6" t="str">
        <f t="shared" si="15"/>
        <v>RGUSHSBT Index</v>
      </c>
      <c r="F306" s="5">
        <f t="shared" si="14"/>
        <v>1.3411944614936533E-2</v>
      </c>
    </row>
    <row r="307" spans="1:6" x14ac:dyDescent="0.35">
      <c r="A307" s="10">
        <v>45371</v>
      </c>
      <c r="B307" s="9">
        <v>1.8503073152579756E-2</v>
      </c>
      <c r="D307" s="6" t="str">
        <f t="shared" si="12"/>
        <v>03/20/2024</v>
      </c>
      <c r="E307" s="6" t="str">
        <f t="shared" si="15"/>
        <v>RGUSHSBT Index</v>
      </c>
      <c r="F307" s="5">
        <f t="shared" si="14"/>
        <v>1.8503073152579756E-2</v>
      </c>
    </row>
    <row r="308" spans="1:6" x14ac:dyDescent="0.35">
      <c r="A308" s="8">
        <v>45372</v>
      </c>
      <c r="B308" s="7">
        <v>-1.0507086614173411E-3</v>
      </c>
      <c r="D308" s="6" t="str">
        <f t="shared" si="12"/>
        <v>03/21/2024</v>
      </c>
      <c r="E308" s="6" t="str">
        <f t="shared" si="15"/>
        <v>RGUSHSBT Index</v>
      </c>
      <c r="F308" s="5">
        <f t="shared" si="14"/>
        <v>-1.0507086614173411E-3</v>
      </c>
    </row>
    <row r="309" spans="1:6" x14ac:dyDescent="0.35">
      <c r="A309" s="10">
        <v>45373</v>
      </c>
      <c r="B309" s="9">
        <v>-1.5590554358847581E-2</v>
      </c>
      <c r="D309" s="6" t="str">
        <f t="shared" si="12"/>
        <v>03/22/2024</v>
      </c>
      <c r="E309" s="6" t="str">
        <f t="shared" si="15"/>
        <v>RGUSHSBT Index</v>
      </c>
      <c r="F309" s="5">
        <f t="shared" si="14"/>
        <v>-1.5590554358847581E-2</v>
      </c>
    </row>
    <row r="310" spans="1:6" x14ac:dyDescent="0.35">
      <c r="A310" s="8">
        <v>45376</v>
      </c>
      <c r="B310" s="7">
        <v>-1.0000589325017923E-2</v>
      </c>
      <c r="D310" s="6" t="str">
        <f t="shared" si="12"/>
        <v>03/25/2024</v>
      </c>
      <c r="E310" s="6" t="str">
        <f t="shared" si="15"/>
        <v>RGUSHSBT Index</v>
      </c>
      <c r="F310" s="5">
        <f t="shared" si="14"/>
        <v>-1.0000589325017923E-2</v>
      </c>
    </row>
    <row r="311" spans="1:6" x14ac:dyDescent="0.35">
      <c r="A311" s="10">
        <v>45377</v>
      </c>
      <c r="B311" s="9">
        <v>4.5862299223033264E-3</v>
      </c>
      <c r="D311" s="6" t="str">
        <f t="shared" si="12"/>
        <v>03/26/2024</v>
      </c>
      <c r="E311" s="6" t="str">
        <f t="shared" si="15"/>
        <v>RGUSHSBT Index</v>
      </c>
      <c r="F311" s="5">
        <f t="shared" si="14"/>
        <v>4.5862299223033264E-3</v>
      </c>
    </row>
    <row r="312" spans="1:6" x14ac:dyDescent="0.35">
      <c r="A312" s="8">
        <v>45378</v>
      </c>
      <c r="B312" s="7">
        <v>2.7414941800250385E-2</v>
      </c>
      <c r="D312" s="6" t="str">
        <f t="shared" si="12"/>
        <v>03/27/2024</v>
      </c>
      <c r="E312" s="6" t="str">
        <f t="shared" si="15"/>
        <v>RGUSHSBT Index</v>
      </c>
      <c r="F312" s="5">
        <f t="shared" si="14"/>
        <v>2.7414941800250385E-2</v>
      </c>
    </row>
    <row r="313" spans="1:6" x14ac:dyDescent="0.35">
      <c r="A313" s="10">
        <v>45379</v>
      </c>
      <c r="B313" s="9">
        <v>3.8592030331982556E-3</v>
      </c>
      <c r="D313" s="6" t="str">
        <f t="shared" si="12"/>
        <v>03/28/2024</v>
      </c>
      <c r="E313" s="6" t="str">
        <f t="shared" si="15"/>
        <v>RGUSHSBT Index</v>
      </c>
      <c r="F313" s="5">
        <f t="shared" si="14"/>
        <v>3.8592030331982556E-3</v>
      </c>
    </row>
    <row r="314" spans="1:6" x14ac:dyDescent="0.35">
      <c r="A314" s="8">
        <v>45383</v>
      </c>
      <c r="B314" s="7">
        <v>-1.4787947822524711E-2</v>
      </c>
      <c r="D314" s="6" t="str">
        <f t="shared" si="12"/>
        <v>04/01/2024</v>
      </c>
      <c r="E314" s="6" t="str">
        <f t="shared" si="15"/>
        <v>RGUSHSBT Index</v>
      </c>
      <c r="F314" s="5">
        <f t="shared" si="14"/>
        <v>-1.4787947822524711E-2</v>
      </c>
    </row>
    <row r="315" spans="1:6" x14ac:dyDescent="0.35">
      <c r="A315" s="10">
        <v>45384</v>
      </c>
      <c r="B315" s="9">
        <v>-3.4241365496468036E-2</v>
      </c>
      <c r="D315" s="6" t="str">
        <f t="shared" si="12"/>
        <v>04/02/2024</v>
      </c>
      <c r="E315" s="6" t="str">
        <f t="shared" si="15"/>
        <v>RGUSHSBT Index</v>
      </c>
      <c r="F315" s="5">
        <f t="shared" si="14"/>
        <v>-3.4241365496468036E-2</v>
      </c>
    </row>
    <row r="316" spans="1:6" x14ac:dyDescent="0.35">
      <c r="A316" s="8">
        <v>45385</v>
      </c>
      <c r="B316" s="7">
        <v>4.1795637186564536E-3</v>
      </c>
      <c r="D316" s="6" t="str">
        <f t="shared" si="12"/>
        <v>04/03/2024</v>
      </c>
      <c r="E316" s="6" t="str">
        <f t="shared" si="15"/>
        <v>RGUSHSBT Index</v>
      </c>
      <c r="F316" s="5">
        <f t="shared" si="14"/>
        <v>4.1795637186564536E-3</v>
      </c>
    </row>
    <row r="317" spans="1:6" x14ac:dyDescent="0.35">
      <c r="A317" s="10">
        <v>45386</v>
      </c>
      <c r="B317" s="9">
        <v>-2.0274880847492564E-2</v>
      </c>
      <c r="D317" s="6" t="str">
        <f t="shared" si="12"/>
        <v>04/04/2024</v>
      </c>
      <c r="E317" s="6" t="str">
        <f t="shared" si="15"/>
        <v>RGUSHSBT Index</v>
      </c>
      <c r="F317" s="5">
        <f t="shared" si="14"/>
        <v>-2.0274880847492564E-2</v>
      </c>
    </row>
    <row r="318" spans="1:6" x14ac:dyDescent="0.35">
      <c r="A318" s="8">
        <v>45387</v>
      </c>
      <c r="B318" s="7">
        <v>8.6006756720695566E-3</v>
      </c>
      <c r="D318" s="6" t="str">
        <f t="shared" si="12"/>
        <v>04/05/2024</v>
      </c>
      <c r="E318" s="6" t="str">
        <f t="shared" si="15"/>
        <v>RGUSHSBT Index</v>
      </c>
      <c r="F318" s="5">
        <f t="shared" si="14"/>
        <v>8.6006756720695566E-3</v>
      </c>
    </row>
    <row r="319" spans="1:6" x14ac:dyDescent="0.35">
      <c r="A319" s="10">
        <v>45390</v>
      </c>
      <c r="B319" s="9">
        <v>1.4657596947833147E-3</v>
      </c>
      <c r="D319" s="6" t="str">
        <f t="shared" si="12"/>
        <v>04/08/2024</v>
      </c>
      <c r="E319" s="6" t="str">
        <f t="shared" si="15"/>
        <v>RGUSHSBT Index</v>
      </c>
      <c r="F319" s="5">
        <f t="shared" si="14"/>
        <v>1.4657596947833147E-3</v>
      </c>
    </row>
    <row r="320" spans="1:6" x14ac:dyDescent="0.35">
      <c r="A320" s="8">
        <v>45391</v>
      </c>
      <c r="B320" s="7">
        <v>1.2398451844708884E-2</v>
      </c>
      <c r="D320" s="6" t="str">
        <f t="shared" si="12"/>
        <v>04/09/2024</v>
      </c>
      <c r="E320" s="6" t="str">
        <f t="shared" si="15"/>
        <v>RGUSHSBT Index</v>
      </c>
      <c r="F320" s="5">
        <f t="shared" si="14"/>
        <v>1.2398451844708884E-2</v>
      </c>
    </row>
    <row r="321" spans="1:6" x14ac:dyDescent="0.35">
      <c r="A321" s="10">
        <v>45392</v>
      </c>
      <c r="B321" s="9">
        <v>-2.1145174422245817E-2</v>
      </c>
      <c r="D321" s="6" t="str">
        <f t="shared" si="12"/>
        <v>04/10/2024</v>
      </c>
      <c r="E321" s="6" t="str">
        <f t="shared" si="15"/>
        <v>RGUSHSBT Index</v>
      </c>
      <c r="F321" s="5">
        <f t="shared" si="14"/>
        <v>-2.1145174422245817E-2</v>
      </c>
    </row>
    <row r="322" spans="1:6" x14ac:dyDescent="0.35">
      <c r="A322" s="8">
        <v>45393</v>
      </c>
      <c r="B322" s="7">
        <v>2.0975460204476035E-2</v>
      </c>
      <c r="D322" s="6" t="str">
        <f t="shared" si="12"/>
        <v>04/11/2024</v>
      </c>
      <c r="E322" s="6" t="str">
        <f t="shared" si="15"/>
        <v>RGUSHSBT Index</v>
      </c>
      <c r="F322" s="5">
        <f t="shared" si="14"/>
        <v>2.0975460204476035E-2</v>
      </c>
    </row>
    <row r="323" spans="1:6" x14ac:dyDescent="0.35">
      <c r="A323" s="10">
        <v>45394</v>
      </c>
      <c r="B323" s="9">
        <v>-3.4866687729944459E-2</v>
      </c>
      <c r="D323" s="6" t="str">
        <f t="shared" ref="D323:D386" si="16">IF(A323 =  "", "",  TEXT(A323, "mm/dd/yyyy"))</f>
        <v>04/12/2024</v>
      </c>
      <c r="E323" s="6" t="str">
        <f t="shared" si="15"/>
        <v>RGUSHSBT Index</v>
      </c>
      <c r="F323" s="5">
        <f t="shared" ref="F323:F386" si="17">IF(B323="","", B323)</f>
        <v>-3.4866687729944459E-2</v>
      </c>
    </row>
    <row r="324" spans="1:6" x14ac:dyDescent="0.35">
      <c r="A324" s="8">
        <v>45397</v>
      </c>
      <c r="B324" s="7">
        <v>-2.48390238623451E-2</v>
      </c>
      <c r="D324" s="6" t="str">
        <f t="shared" si="16"/>
        <v>04/15/2024</v>
      </c>
      <c r="E324" s="6" t="str">
        <f t="shared" si="15"/>
        <v>RGUSHSBT Index</v>
      </c>
      <c r="F324" s="5">
        <f t="shared" si="17"/>
        <v>-2.48390238623451E-2</v>
      </c>
    </row>
    <row r="325" spans="1:6" x14ac:dyDescent="0.35">
      <c r="A325" s="10">
        <v>45398</v>
      </c>
      <c r="B325" s="9">
        <v>-4.7636354556527104E-3</v>
      </c>
      <c r="D325" s="6" t="str">
        <f t="shared" si="16"/>
        <v>04/16/2024</v>
      </c>
      <c r="E325" s="6" t="str">
        <f t="shared" si="15"/>
        <v>RGUSHSBT Index</v>
      </c>
      <c r="F325" s="5">
        <f t="shared" si="17"/>
        <v>-4.7636354556527104E-3</v>
      </c>
    </row>
    <row r="326" spans="1:6" x14ac:dyDescent="0.35">
      <c r="A326" s="8">
        <v>45399</v>
      </c>
      <c r="B326" s="7">
        <v>-1.3383622972664003E-2</v>
      </c>
      <c r="D326" s="6" t="str">
        <f t="shared" si="16"/>
        <v>04/17/2024</v>
      </c>
      <c r="E326" s="6" t="str">
        <f t="shared" si="15"/>
        <v>RGUSHSBT Index</v>
      </c>
      <c r="F326" s="5">
        <f t="shared" si="17"/>
        <v>-1.3383622972664003E-2</v>
      </c>
    </row>
    <row r="327" spans="1:6" x14ac:dyDescent="0.35">
      <c r="A327" s="10">
        <v>45400</v>
      </c>
      <c r="B327" s="9">
        <v>-1.9467621305319573E-2</v>
      </c>
      <c r="D327" s="6" t="str">
        <f t="shared" si="16"/>
        <v>04/18/2024</v>
      </c>
      <c r="E327" s="6" t="str">
        <f t="shared" si="15"/>
        <v>RGUSHSBT Index</v>
      </c>
      <c r="F327" s="5">
        <f t="shared" si="17"/>
        <v>-1.9467621305319573E-2</v>
      </c>
    </row>
    <row r="328" spans="1:6" x14ac:dyDescent="0.35">
      <c r="A328" s="8">
        <v>45401</v>
      </c>
      <c r="B328" s="7">
        <v>-7.9935221925418135E-3</v>
      </c>
      <c r="D328" s="6" t="str">
        <f t="shared" si="16"/>
        <v>04/19/2024</v>
      </c>
      <c r="E328" s="6" t="str">
        <f t="shared" si="15"/>
        <v>RGUSHSBT Index</v>
      </c>
      <c r="F328" s="5">
        <f t="shared" si="17"/>
        <v>-7.9935221925418135E-3</v>
      </c>
    </row>
    <row r="329" spans="1:6" x14ac:dyDescent="0.35">
      <c r="A329" s="10">
        <v>45404</v>
      </c>
      <c r="B329" s="9">
        <v>1.262719421827292E-2</v>
      </c>
      <c r="D329" s="6" t="str">
        <f t="shared" si="16"/>
        <v>04/22/2024</v>
      </c>
      <c r="E329" s="6" t="str">
        <f t="shared" si="15"/>
        <v>RGUSHSBT Index</v>
      </c>
      <c r="F329" s="5">
        <f t="shared" si="17"/>
        <v>1.262719421827292E-2</v>
      </c>
    </row>
    <row r="330" spans="1:6" x14ac:dyDescent="0.35">
      <c r="A330" s="8">
        <v>45405</v>
      </c>
      <c r="B330" s="7">
        <v>9.0819382451147596E-3</v>
      </c>
      <c r="D330" s="6" t="str">
        <f t="shared" si="16"/>
        <v>04/23/2024</v>
      </c>
      <c r="E330" s="6" t="str">
        <f t="shared" si="15"/>
        <v>RGUSHSBT Index</v>
      </c>
      <c r="F330" s="5">
        <f t="shared" si="17"/>
        <v>9.0819382451147596E-3</v>
      </c>
    </row>
    <row r="331" spans="1:6" x14ac:dyDescent="0.35">
      <c r="A331" s="10">
        <v>45406</v>
      </c>
      <c r="B331" s="9">
        <v>-1.1786110242488003E-2</v>
      </c>
      <c r="D331" s="6" t="str">
        <f t="shared" si="16"/>
        <v>04/24/2024</v>
      </c>
      <c r="E331" s="6" t="str">
        <f t="shared" si="15"/>
        <v>RGUSHSBT Index</v>
      </c>
      <c r="F331" s="5">
        <f t="shared" si="17"/>
        <v>-1.1786110242488003E-2</v>
      </c>
    </row>
    <row r="332" spans="1:6" x14ac:dyDescent="0.35">
      <c r="A332" s="8">
        <v>45407</v>
      </c>
      <c r="B332" s="7">
        <v>-1.8833567302602754E-2</v>
      </c>
      <c r="D332" s="6" t="str">
        <f t="shared" si="16"/>
        <v>04/25/2024</v>
      </c>
      <c r="E332" s="6" t="str">
        <f t="shared" si="15"/>
        <v>RGUSHSBT Index</v>
      </c>
      <c r="F332" s="5">
        <f t="shared" si="17"/>
        <v>-1.8833567302602754E-2</v>
      </c>
    </row>
    <row r="333" spans="1:6" x14ac:dyDescent="0.35">
      <c r="A333" s="10">
        <v>45408</v>
      </c>
      <c r="B333" s="9">
        <v>2.023296792219945E-2</v>
      </c>
      <c r="D333" s="6" t="str">
        <f t="shared" si="16"/>
        <v>04/26/2024</v>
      </c>
      <c r="E333" s="6" t="str">
        <f t="shared" si="15"/>
        <v>RGUSHSBT Index</v>
      </c>
      <c r="F333" s="5">
        <f t="shared" si="17"/>
        <v>2.023296792219945E-2</v>
      </c>
    </row>
    <row r="334" spans="1:6" x14ac:dyDescent="0.35">
      <c r="A334" s="8">
        <v>45411</v>
      </c>
      <c r="B334" s="7">
        <v>2.4306134295846268E-2</v>
      </c>
      <c r="D334" s="6" t="str">
        <f t="shared" si="16"/>
        <v>04/29/2024</v>
      </c>
      <c r="E334" s="6" t="str">
        <f t="shared" si="15"/>
        <v>RGUSHSBT Index</v>
      </c>
      <c r="F334" s="5">
        <f t="shared" si="17"/>
        <v>2.4306134295846268E-2</v>
      </c>
    </row>
    <row r="335" spans="1:6" x14ac:dyDescent="0.35">
      <c r="A335" s="10">
        <v>45412</v>
      </c>
      <c r="B335" s="9">
        <v>-8.6551302337586292E-3</v>
      </c>
      <c r="D335" s="6" t="str">
        <f t="shared" si="16"/>
        <v>04/30/2024</v>
      </c>
      <c r="E335" s="6" t="str">
        <f t="shared" si="15"/>
        <v>RGUSHSBT Index</v>
      </c>
      <c r="F335" s="5">
        <f t="shared" si="17"/>
        <v>-8.6551302337586292E-3</v>
      </c>
    </row>
    <row r="336" spans="1:6" x14ac:dyDescent="0.35">
      <c r="A336" s="8">
        <v>45413</v>
      </c>
      <c r="B336" s="7">
        <v>3.493693239866303E-2</v>
      </c>
      <c r="D336" s="6" t="str">
        <f t="shared" si="16"/>
        <v>05/01/2024</v>
      </c>
      <c r="E336" s="6" t="str">
        <f t="shared" si="15"/>
        <v>RGUSHSBT Index</v>
      </c>
      <c r="F336" s="5">
        <f t="shared" si="17"/>
        <v>3.493693239866303E-2</v>
      </c>
    </row>
    <row r="337" spans="1:6" x14ac:dyDescent="0.35">
      <c r="A337" s="10">
        <v>45414</v>
      </c>
      <c r="B337" s="9">
        <v>9.0895169758487323E-3</v>
      </c>
      <c r="D337" s="6" t="str">
        <f t="shared" si="16"/>
        <v>05/02/2024</v>
      </c>
      <c r="E337" s="6" t="str">
        <f t="shared" si="15"/>
        <v>RGUSHSBT Index</v>
      </c>
      <c r="F337" s="5">
        <f t="shared" si="17"/>
        <v>9.0895169758487323E-3</v>
      </c>
    </row>
    <row r="338" spans="1:6" x14ac:dyDescent="0.35">
      <c r="A338" s="8">
        <v>45415</v>
      </c>
      <c r="B338" s="7">
        <v>1.7890629234187844E-2</v>
      </c>
      <c r="D338" s="6" t="str">
        <f t="shared" si="16"/>
        <v>05/03/2024</v>
      </c>
      <c r="E338" s="6" t="str">
        <f t="shared" si="15"/>
        <v>RGUSHSBT Index</v>
      </c>
      <c r="F338" s="5">
        <f t="shared" si="17"/>
        <v>1.7890629234187844E-2</v>
      </c>
    </row>
    <row r="339" spans="1:6" x14ac:dyDescent="0.35">
      <c r="A339" s="10">
        <v>45418</v>
      </c>
      <c r="B339" s="9">
        <v>6.8499715139155905E-3</v>
      </c>
      <c r="D339" s="6" t="str">
        <f t="shared" si="16"/>
        <v>05/06/2024</v>
      </c>
      <c r="E339" s="6" t="str">
        <f t="shared" si="15"/>
        <v>RGUSHSBT Index</v>
      </c>
      <c r="F339" s="5">
        <f t="shared" si="17"/>
        <v>6.8499715139155905E-3</v>
      </c>
    </row>
    <row r="340" spans="1:6" x14ac:dyDescent="0.35">
      <c r="A340" s="8">
        <v>45419</v>
      </c>
      <c r="B340" s="7">
        <v>7.4300294821465121E-4</v>
      </c>
      <c r="D340" s="6" t="str">
        <f t="shared" si="16"/>
        <v>05/07/2024</v>
      </c>
      <c r="E340" s="6" t="str">
        <f t="shared" si="15"/>
        <v>RGUSHSBT Index</v>
      </c>
      <c r="F340" s="5">
        <f t="shared" si="17"/>
        <v>7.4300294821465121E-4</v>
      </c>
    </row>
    <row r="341" spans="1:6" x14ac:dyDescent="0.35">
      <c r="A341" s="10">
        <v>45420</v>
      </c>
      <c r="B341" s="9">
        <v>-1.4761834303892543E-2</v>
      </c>
      <c r="D341" s="6" t="str">
        <f t="shared" si="16"/>
        <v>05/08/2024</v>
      </c>
      <c r="E341" s="6" t="str">
        <f t="shared" si="15"/>
        <v>RGUSHSBT Index</v>
      </c>
      <c r="F341" s="5">
        <f t="shared" si="17"/>
        <v>-1.4761834303892543E-2</v>
      </c>
    </row>
    <row r="342" spans="1:6" x14ac:dyDescent="0.35">
      <c r="A342" s="8">
        <v>45421</v>
      </c>
      <c r="B342" s="7">
        <v>-1.3757445245098823E-3</v>
      </c>
      <c r="D342" s="6" t="str">
        <f t="shared" si="16"/>
        <v>05/09/2024</v>
      </c>
      <c r="E342" s="6" t="str">
        <f t="shared" si="15"/>
        <v>RGUSHSBT Index</v>
      </c>
      <c r="F342" s="5">
        <f t="shared" si="17"/>
        <v>-1.3757445245098823E-3</v>
      </c>
    </row>
    <row r="343" spans="1:6" x14ac:dyDescent="0.35">
      <c r="A343" s="10">
        <v>45422</v>
      </c>
      <c r="B343" s="9">
        <v>-2.1513201710099503E-2</v>
      </c>
      <c r="D343" s="6" t="str">
        <f t="shared" si="16"/>
        <v>05/10/2024</v>
      </c>
      <c r="E343" s="6" t="str">
        <f t="shared" si="15"/>
        <v>RGUSHSBT Index</v>
      </c>
      <c r="F343" s="5">
        <f t="shared" si="17"/>
        <v>-2.1513201710099503E-2</v>
      </c>
    </row>
    <row r="344" spans="1:6" x14ac:dyDescent="0.35">
      <c r="A344" s="8">
        <v>45425</v>
      </c>
      <c r="B344" s="7">
        <v>1.1041126343090037E-2</v>
      </c>
      <c r="D344" s="6" t="str">
        <f t="shared" si="16"/>
        <v>05/13/2024</v>
      </c>
      <c r="E344" s="6" t="str">
        <f t="shared" si="15"/>
        <v>RGUSHSBT Index</v>
      </c>
      <c r="F344" s="5">
        <f t="shared" si="17"/>
        <v>1.1041126343090037E-2</v>
      </c>
    </row>
    <row r="345" spans="1:6" x14ac:dyDescent="0.35">
      <c r="A345" s="10">
        <v>45426</v>
      </c>
      <c r="B345" s="9">
        <v>1.384409915632431E-2</v>
      </c>
      <c r="D345" s="6" t="str">
        <f t="shared" si="16"/>
        <v>05/14/2024</v>
      </c>
      <c r="E345" s="6" t="str">
        <f t="shared" ref="E345:E382" si="18">IF(A345="", "", EntityLocal)</f>
        <v>RGUSHSBT Index</v>
      </c>
      <c r="F345" s="5">
        <f t="shared" si="17"/>
        <v>1.384409915632431E-2</v>
      </c>
    </row>
    <row r="346" spans="1:6" x14ac:dyDescent="0.35">
      <c r="A346" s="8">
        <v>45427</v>
      </c>
      <c r="B346" s="7">
        <v>2.4311356723642989E-2</v>
      </c>
      <c r="D346" s="6" t="str">
        <f t="shared" si="16"/>
        <v>05/15/2024</v>
      </c>
      <c r="E346" s="6" t="str">
        <f t="shared" si="18"/>
        <v>RGUSHSBT Index</v>
      </c>
      <c r="F346" s="5">
        <f t="shared" si="17"/>
        <v>2.4311356723642989E-2</v>
      </c>
    </row>
    <row r="347" spans="1:6" x14ac:dyDescent="0.35">
      <c r="A347" s="10">
        <v>45428</v>
      </c>
      <c r="B347" s="9">
        <v>-2.1564793709876414E-3</v>
      </c>
      <c r="D347" s="6" t="str">
        <f t="shared" si="16"/>
        <v>05/16/2024</v>
      </c>
      <c r="E347" s="6" t="str">
        <f t="shared" si="18"/>
        <v>RGUSHSBT Index</v>
      </c>
      <c r="F347" s="5">
        <f t="shared" si="17"/>
        <v>-2.1564793709876414E-3</v>
      </c>
    </row>
    <row r="348" spans="1:6" x14ac:dyDescent="0.35">
      <c r="A348" s="8">
        <v>45429</v>
      </c>
      <c r="B348" s="7">
        <v>-1.3849631820360791E-2</v>
      </c>
      <c r="D348" s="6" t="str">
        <f t="shared" si="16"/>
        <v>05/17/2024</v>
      </c>
      <c r="E348" s="6" t="str">
        <f t="shared" si="18"/>
        <v>RGUSHSBT Index</v>
      </c>
      <c r="F348" s="5">
        <f t="shared" si="17"/>
        <v>-1.3849631820360791E-2</v>
      </c>
    </row>
    <row r="349" spans="1:6" x14ac:dyDescent="0.35">
      <c r="A349" s="10">
        <v>45432</v>
      </c>
      <c r="B349" s="9">
        <v>1.1572259916794517E-2</v>
      </c>
      <c r="D349" s="6" t="str">
        <f t="shared" si="16"/>
        <v>05/20/2024</v>
      </c>
      <c r="E349" s="6" t="str">
        <f t="shared" si="18"/>
        <v>RGUSHSBT Index</v>
      </c>
      <c r="F349" s="5">
        <f t="shared" si="17"/>
        <v>1.1572259916794517E-2</v>
      </c>
    </row>
    <row r="350" spans="1:6" x14ac:dyDescent="0.35">
      <c r="A350" s="8">
        <v>45433</v>
      </c>
      <c r="B350" s="7">
        <v>-9.000486157646443E-3</v>
      </c>
      <c r="D350" s="6" t="str">
        <f t="shared" si="16"/>
        <v>05/21/2024</v>
      </c>
      <c r="E350" s="6" t="str">
        <f t="shared" si="18"/>
        <v>RGUSHSBT Index</v>
      </c>
      <c r="F350" s="5">
        <f t="shared" si="17"/>
        <v>-9.000486157646443E-3</v>
      </c>
    </row>
    <row r="351" spans="1:6" x14ac:dyDescent="0.35">
      <c r="A351" s="10">
        <v>45434</v>
      </c>
      <c r="B351" s="9">
        <v>8.3264829890479302E-4</v>
      </c>
      <c r="D351" s="6" t="str">
        <f t="shared" si="16"/>
        <v>05/22/2024</v>
      </c>
      <c r="E351" s="6" t="str">
        <f t="shared" si="18"/>
        <v>RGUSHSBT Index</v>
      </c>
      <c r="F351" s="5">
        <f t="shared" si="17"/>
        <v>8.3264829890479302E-4</v>
      </c>
    </row>
    <row r="352" spans="1:6" x14ac:dyDescent="0.35">
      <c r="A352" s="8">
        <v>45435</v>
      </c>
      <c r="B352" s="7">
        <v>-3.6788863453304524E-2</v>
      </c>
      <c r="D352" s="6" t="str">
        <f t="shared" si="16"/>
        <v>05/23/2024</v>
      </c>
      <c r="E352" s="6" t="str">
        <f t="shared" si="18"/>
        <v>RGUSHSBT Index</v>
      </c>
      <c r="F352" s="5">
        <f t="shared" si="17"/>
        <v>-3.6788863453304524E-2</v>
      </c>
    </row>
    <row r="353" spans="1:6" x14ac:dyDescent="0.35">
      <c r="A353" s="10">
        <v>45436</v>
      </c>
      <c r="B353" s="9">
        <v>-2.0933104838819108E-3</v>
      </c>
      <c r="D353" s="6" t="str">
        <f t="shared" si="16"/>
        <v>05/24/2024</v>
      </c>
      <c r="E353" s="6" t="str">
        <f t="shared" si="18"/>
        <v>RGUSHSBT Index</v>
      </c>
      <c r="F353" s="5">
        <f t="shared" si="17"/>
        <v>-2.0933104838819108E-3</v>
      </c>
    </row>
    <row r="354" spans="1:6" x14ac:dyDescent="0.35">
      <c r="A354" s="8">
        <v>45440</v>
      </c>
      <c r="B354" s="7">
        <v>1.6621735606899904E-2</v>
      </c>
      <c r="D354" s="6" t="str">
        <f t="shared" si="16"/>
        <v>05/28/2024</v>
      </c>
      <c r="E354" s="6" t="str">
        <f t="shared" si="18"/>
        <v>RGUSHSBT Index</v>
      </c>
      <c r="F354" s="5">
        <f t="shared" si="17"/>
        <v>1.6621735606899904E-2</v>
      </c>
    </row>
    <row r="355" spans="1:6" x14ac:dyDescent="0.35">
      <c r="A355" s="10">
        <v>45441</v>
      </c>
      <c r="B355" s="9">
        <v>-1.6816338040389577E-2</v>
      </c>
      <c r="D355" s="6" t="str">
        <f t="shared" si="16"/>
        <v>05/29/2024</v>
      </c>
      <c r="E355" s="6" t="str">
        <f t="shared" si="18"/>
        <v>RGUSHSBT Index</v>
      </c>
      <c r="F355" s="5">
        <f t="shared" si="17"/>
        <v>-1.6816338040389577E-2</v>
      </c>
    </row>
    <row r="356" spans="1:6" x14ac:dyDescent="0.35">
      <c r="A356" s="8">
        <v>45442</v>
      </c>
      <c r="B356" s="7">
        <v>1.402072773202878E-2</v>
      </c>
      <c r="D356" s="6" t="str">
        <f t="shared" si="16"/>
        <v>05/30/2024</v>
      </c>
      <c r="E356" s="6" t="str">
        <f t="shared" si="18"/>
        <v>RGUSHSBT Index</v>
      </c>
      <c r="F356" s="5">
        <f t="shared" si="17"/>
        <v>1.402072773202878E-2</v>
      </c>
    </row>
    <row r="357" spans="1:6" x14ac:dyDescent="0.35">
      <c r="A357" s="10">
        <v>45443</v>
      </c>
      <c r="B357" s="9">
        <v>-9.1925263129262154E-4</v>
      </c>
      <c r="D357" s="6" t="str">
        <f t="shared" si="16"/>
        <v>05/31/2024</v>
      </c>
      <c r="E357" s="6" t="str">
        <f t="shared" si="18"/>
        <v>RGUSHSBT Index</v>
      </c>
      <c r="F357" s="5">
        <f t="shared" si="17"/>
        <v>-9.1925263129262154E-4</v>
      </c>
    </row>
    <row r="358" spans="1:6" x14ac:dyDescent="0.35">
      <c r="A358" s="8">
        <v>45446</v>
      </c>
      <c r="B358" s="7">
        <v>2.0849212744179994E-2</v>
      </c>
      <c r="D358" s="6" t="str">
        <f t="shared" si="16"/>
        <v>06/03/2024</v>
      </c>
      <c r="E358" s="6" t="str">
        <f t="shared" si="18"/>
        <v>RGUSHSBT Index</v>
      </c>
      <c r="F358" s="5">
        <f t="shared" si="17"/>
        <v>2.0849212744179994E-2</v>
      </c>
    </row>
    <row r="359" spans="1:6" x14ac:dyDescent="0.35">
      <c r="A359" s="10">
        <v>45447</v>
      </c>
      <c r="B359" s="9">
        <v>-7.6397758999069802E-3</v>
      </c>
      <c r="D359" s="6" t="str">
        <f t="shared" si="16"/>
        <v>06/04/2024</v>
      </c>
      <c r="E359" s="6" t="str">
        <f t="shared" si="18"/>
        <v>RGUSHSBT Index</v>
      </c>
      <c r="F359" s="5">
        <f t="shared" si="17"/>
        <v>-7.6397758999069802E-3</v>
      </c>
    </row>
    <row r="360" spans="1:6" x14ac:dyDescent="0.35">
      <c r="A360" s="8">
        <v>45448</v>
      </c>
      <c r="B360" s="7">
        <v>3.370182670242329E-2</v>
      </c>
      <c r="D360" s="6" t="str">
        <f t="shared" si="16"/>
        <v>06/05/2024</v>
      </c>
      <c r="E360" s="6" t="str">
        <f t="shared" si="18"/>
        <v>RGUSHSBT Index</v>
      </c>
      <c r="F360" s="5">
        <f t="shared" si="17"/>
        <v>3.370182670242329E-2</v>
      </c>
    </row>
    <row r="361" spans="1:6" x14ac:dyDescent="0.35">
      <c r="A361" s="10">
        <v>45449</v>
      </c>
      <c r="B361" s="9">
        <v>-1.7419311234039107E-2</v>
      </c>
      <c r="D361" s="6" t="str">
        <f t="shared" si="16"/>
        <v>06/06/2024</v>
      </c>
      <c r="E361" s="6" t="str">
        <f t="shared" si="18"/>
        <v>RGUSHSBT Index</v>
      </c>
      <c r="F361" s="5">
        <f t="shared" si="17"/>
        <v>-1.7419311234039107E-2</v>
      </c>
    </row>
    <row r="362" spans="1:6" x14ac:dyDescent="0.35">
      <c r="A362" s="8">
        <v>45450</v>
      </c>
      <c r="B362" s="7">
        <v>-1.1087682909729651E-2</v>
      </c>
      <c r="D362" s="6" t="str">
        <f t="shared" si="16"/>
        <v>06/07/2024</v>
      </c>
      <c r="E362" s="6" t="str">
        <f t="shared" si="18"/>
        <v>RGUSHSBT Index</v>
      </c>
      <c r="F362" s="5">
        <f t="shared" si="17"/>
        <v>-1.1087682909729651E-2</v>
      </c>
    </row>
    <row r="363" spans="1:6" x14ac:dyDescent="0.35">
      <c r="A363" s="10">
        <v>45453</v>
      </c>
      <c r="B363" s="9">
        <v>1.1741698680563656E-2</v>
      </c>
      <c r="D363" s="6" t="str">
        <f t="shared" si="16"/>
        <v>06/10/2024</v>
      </c>
      <c r="E363" s="6" t="str">
        <f t="shared" si="18"/>
        <v>RGUSHSBT Index</v>
      </c>
      <c r="F363" s="5">
        <f t="shared" si="17"/>
        <v>1.1741698680563656E-2</v>
      </c>
    </row>
    <row r="364" spans="1:6" x14ac:dyDescent="0.35">
      <c r="A364" s="8">
        <v>45454</v>
      </c>
      <c r="B364" s="7">
        <v>4.6696722503537713E-3</v>
      </c>
      <c r="D364" s="6" t="str">
        <f t="shared" si="16"/>
        <v>06/11/2024</v>
      </c>
      <c r="E364" s="6" t="str">
        <f t="shared" si="18"/>
        <v>RGUSHSBT Index</v>
      </c>
      <c r="F364" s="5">
        <f t="shared" si="17"/>
        <v>4.6696722503537713E-3</v>
      </c>
    </row>
    <row r="365" spans="1:6" x14ac:dyDescent="0.35">
      <c r="A365" s="10">
        <v>45455</v>
      </c>
      <c r="B365" s="9">
        <v>1.6602140802366598E-2</v>
      </c>
      <c r="D365" s="6" t="str">
        <f t="shared" si="16"/>
        <v>06/12/2024</v>
      </c>
      <c r="E365" s="6" t="str">
        <f t="shared" si="18"/>
        <v>RGUSHSBT Index</v>
      </c>
      <c r="F365" s="5">
        <f t="shared" si="17"/>
        <v>1.6602140802366598E-2</v>
      </c>
    </row>
    <row r="366" spans="1:6" x14ac:dyDescent="0.35">
      <c r="A366" s="8">
        <v>45456</v>
      </c>
      <c r="B366" s="7">
        <v>-7.2231326648693455E-4</v>
      </c>
      <c r="D366" s="6" t="str">
        <f t="shared" si="16"/>
        <v>06/13/2024</v>
      </c>
      <c r="E366" s="6" t="str">
        <f t="shared" si="18"/>
        <v>RGUSHSBT Index</v>
      </c>
      <c r="F366" s="5">
        <f t="shared" si="17"/>
        <v>-7.2231326648693455E-4</v>
      </c>
    </row>
    <row r="367" spans="1:6" x14ac:dyDescent="0.35">
      <c r="A367" s="10">
        <v>45457</v>
      </c>
      <c r="B367" s="9">
        <v>-2.087932017202971E-2</v>
      </c>
      <c r="D367" s="6" t="str">
        <f t="shared" si="16"/>
        <v>06/14/2024</v>
      </c>
      <c r="E367" s="6" t="str">
        <f t="shared" si="18"/>
        <v>RGUSHSBT Index</v>
      </c>
      <c r="F367" s="5">
        <f t="shared" si="17"/>
        <v>-2.087932017202971E-2</v>
      </c>
    </row>
    <row r="368" spans="1:6" x14ac:dyDescent="0.35">
      <c r="A368" s="8">
        <v>45460</v>
      </c>
      <c r="B368" s="7">
        <v>-1.5905440555036711E-2</v>
      </c>
      <c r="D368" s="6" t="str">
        <f t="shared" si="16"/>
        <v>06/17/2024</v>
      </c>
      <c r="E368" s="6" t="str">
        <f t="shared" si="18"/>
        <v>RGUSHSBT Index</v>
      </c>
      <c r="F368" s="5">
        <f t="shared" si="17"/>
        <v>-1.5905440555036711E-2</v>
      </c>
    </row>
    <row r="369" spans="1:6" x14ac:dyDescent="0.35">
      <c r="A369" s="10">
        <v>45461</v>
      </c>
      <c r="B369" s="9">
        <v>-7.2786426823692445E-3</v>
      </c>
      <c r="D369" s="6" t="str">
        <f t="shared" si="16"/>
        <v>06/18/2024</v>
      </c>
      <c r="E369" s="6" t="str">
        <f t="shared" si="18"/>
        <v>RGUSHSBT Index</v>
      </c>
      <c r="F369" s="5">
        <f t="shared" si="17"/>
        <v>-7.2786426823692445E-3</v>
      </c>
    </row>
    <row r="370" spans="1:6" x14ac:dyDescent="0.35">
      <c r="A370" s="8">
        <v>45463</v>
      </c>
      <c r="B370" s="7">
        <v>-2.7329138712308444E-3</v>
      </c>
      <c r="D370" s="6" t="str">
        <f t="shared" si="16"/>
        <v>06/20/2024</v>
      </c>
      <c r="E370" s="6" t="str">
        <f t="shared" si="18"/>
        <v>RGUSHSBT Index</v>
      </c>
      <c r="F370" s="5">
        <f t="shared" si="17"/>
        <v>-2.7329138712308444E-3</v>
      </c>
    </row>
    <row r="371" spans="1:6" x14ac:dyDescent="0.35">
      <c r="A371" s="10">
        <v>45464</v>
      </c>
      <c r="B371" s="9">
        <v>2.6222589178530823E-2</v>
      </c>
      <c r="D371" s="6" t="str">
        <f t="shared" si="16"/>
        <v>06/21/2024</v>
      </c>
      <c r="E371" s="6" t="str">
        <f t="shared" si="18"/>
        <v>RGUSHSBT Index</v>
      </c>
      <c r="F371" s="5">
        <f t="shared" si="17"/>
        <v>2.6222589178530823E-2</v>
      </c>
    </row>
    <row r="372" spans="1:6" x14ac:dyDescent="0.35">
      <c r="A372" s="8">
        <v>45467</v>
      </c>
      <c r="B372" s="7">
        <v>7.3653761158558621E-3</v>
      </c>
      <c r="D372" s="6" t="str">
        <f t="shared" si="16"/>
        <v>06/24/2024</v>
      </c>
      <c r="E372" s="6" t="str">
        <f t="shared" si="18"/>
        <v>RGUSHSBT Index</v>
      </c>
      <c r="F372" s="5">
        <f t="shared" si="17"/>
        <v>7.3653761158558621E-3</v>
      </c>
    </row>
    <row r="373" spans="1:6" x14ac:dyDescent="0.35">
      <c r="A373" s="10">
        <v>45468</v>
      </c>
      <c r="B373" s="9">
        <v>-1.4672964963534315E-2</v>
      </c>
      <c r="D373" s="6" t="str">
        <f t="shared" si="16"/>
        <v>06/25/2024</v>
      </c>
      <c r="E373" s="6" t="str">
        <f t="shared" si="18"/>
        <v>RGUSHSBT Index</v>
      </c>
      <c r="F373" s="5">
        <f t="shared" si="17"/>
        <v>-1.4672964963534315E-2</v>
      </c>
    </row>
    <row r="374" spans="1:6" x14ac:dyDescent="0.35">
      <c r="A374" s="8">
        <v>45469</v>
      </c>
      <c r="B374" s="7">
        <v>-1.700586859780244E-2</v>
      </c>
      <c r="D374" s="6" t="str">
        <f t="shared" si="16"/>
        <v>06/26/2024</v>
      </c>
      <c r="E374" s="6" t="str">
        <f t="shared" si="18"/>
        <v>RGUSHSBT Index</v>
      </c>
      <c r="F374" s="5">
        <f t="shared" si="17"/>
        <v>-1.700586859780244E-2</v>
      </c>
    </row>
    <row r="375" spans="1:6" x14ac:dyDescent="0.35">
      <c r="A375" s="10">
        <v>45470</v>
      </c>
      <c r="B375" s="9">
        <v>1.3955607875899542E-2</v>
      </c>
      <c r="D375" s="6" t="str">
        <f t="shared" si="16"/>
        <v>06/27/2024</v>
      </c>
      <c r="E375" s="6" t="str">
        <f t="shared" si="18"/>
        <v>RGUSHSBT Index</v>
      </c>
      <c r="F375" s="5">
        <f t="shared" si="17"/>
        <v>1.3955607875899542E-2</v>
      </c>
    </row>
    <row r="376" spans="1:6" x14ac:dyDescent="0.35">
      <c r="A376" s="8">
        <v>45471</v>
      </c>
      <c r="B376" s="7">
        <v>1.2573097850803836E-3</v>
      </c>
      <c r="D376" s="6" t="str">
        <f t="shared" si="16"/>
        <v>06/28/2024</v>
      </c>
      <c r="E376" s="6" t="str">
        <f t="shared" si="18"/>
        <v>RGUSHSBT Index</v>
      </c>
      <c r="F376" s="5">
        <f t="shared" si="17"/>
        <v>1.2573097850803836E-3</v>
      </c>
    </row>
    <row r="377" spans="1:6" x14ac:dyDescent="0.35">
      <c r="A377" s="10">
        <v>45474</v>
      </c>
      <c r="B377" s="9">
        <v>6.113005097733085E-3</v>
      </c>
      <c r="D377" s="6" t="str">
        <f t="shared" si="16"/>
        <v>07/01/2024</v>
      </c>
      <c r="E377" s="6" t="str">
        <f t="shared" si="18"/>
        <v>RGUSHSBT Index</v>
      </c>
      <c r="F377" s="5">
        <f t="shared" si="17"/>
        <v>6.113005097733085E-3</v>
      </c>
    </row>
    <row r="378" spans="1:6" x14ac:dyDescent="0.35">
      <c r="A378" s="8">
        <v>45475</v>
      </c>
      <c r="B378" s="7">
        <v>-2.8732885079081776E-2</v>
      </c>
      <c r="D378" s="6" t="str">
        <f t="shared" si="16"/>
        <v>07/02/2024</v>
      </c>
      <c r="E378" s="6" t="str">
        <f t="shared" si="18"/>
        <v>RGUSHSBT Index</v>
      </c>
      <c r="F378" s="5">
        <f t="shared" si="17"/>
        <v>-2.8732885079081776E-2</v>
      </c>
    </row>
    <row r="379" spans="1:6" x14ac:dyDescent="0.35">
      <c r="A379" s="10">
        <v>45476</v>
      </c>
      <c r="B379" s="9">
        <v>-1.4107920120736714E-3</v>
      </c>
      <c r="D379" s="6" t="str">
        <f t="shared" si="16"/>
        <v>07/03/2024</v>
      </c>
      <c r="E379" s="6" t="str">
        <f t="shared" si="18"/>
        <v>RGUSHSBT Index</v>
      </c>
      <c r="F379" s="5">
        <f t="shared" si="17"/>
        <v>-1.4107920120736714E-3</v>
      </c>
    </row>
    <row r="380" spans="1:6" x14ac:dyDescent="0.35">
      <c r="A380" s="8">
        <v>45478</v>
      </c>
      <c r="B380" s="7">
        <v>1.4615207701321754E-2</v>
      </c>
      <c r="D380" s="6" t="str">
        <f t="shared" si="16"/>
        <v>07/05/2024</v>
      </c>
      <c r="E380" s="6" t="str">
        <f t="shared" si="18"/>
        <v>RGUSHSBT Index</v>
      </c>
      <c r="F380" s="5">
        <f t="shared" si="17"/>
        <v>1.4615207701321754E-2</v>
      </c>
    </row>
    <row r="381" spans="1:6" x14ac:dyDescent="0.35">
      <c r="A381" s="10">
        <v>45481</v>
      </c>
      <c r="B381" s="9">
        <v>2.251102343931306E-2</v>
      </c>
      <c r="D381" s="6" t="str">
        <f t="shared" si="16"/>
        <v>07/08/2024</v>
      </c>
      <c r="E381" s="6" t="str">
        <f t="shared" si="18"/>
        <v>RGUSHSBT Index</v>
      </c>
      <c r="F381" s="5">
        <f t="shared" si="17"/>
        <v>2.251102343931306E-2</v>
      </c>
    </row>
    <row r="382" spans="1:6" x14ac:dyDescent="0.35">
      <c r="A382" s="8">
        <v>45482</v>
      </c>
      <c r="B382" s="7">
        <v>2.0086246028143479E-2</v>
      </c>
      <c r="D382" s="6" t="str">
        <f t="shared" si="16"/>
        <v>07/09/2024</v>
      </c>
      <c r="E382" s="6" t="str">
        <f t="shared" si="18"/>
        <v>RGUSHSBT Index</v>
      </c>
      <c r="F382" s="5">
        <f t="shared" si="17"/>
        <v>2.0086246028143479E-2</v>
      </c>
    </row>
    <row r="383" spans="1:6" x14ac:dyDescent="0.35">
      <c r="A383" s="10">
        <v>45483</v>
      </c>
      <c r="B383" s="9">
        <v>8.9980777539474116E-3</v>
      </c>
      <c r="D383" s="6" t="str">
        <f t="shared" si="16"/>
        <v>07/10/2024</v>
      </c>
      <c r="E383" s="6" t="str">
        <f t="shared" ref="E383:E446" si="19">IF(A383="", "", EntityLocal)</f>
        <v>RGUSHSBT Index</v>
      </c>
      <c r="F383" s="5">
        <f t="shared" si="17"/>
        <v>8.9980777539474116E-3</v>
      </c>
    </row>
    <row r="384" spans="1:6" x14ac:dyDescent="0.35">
      <c r="A384" s="8">
        <v>45484</v>
      </c>
      <c r="B384" s="7">
        <v>4.7153241625107305E-2</v>
      </c>
      <c r="D384" s="6" t="str">
        <f t="shared" si="16"/>
        <v>07/11/2024</v>
      </c>
      <c r="E384" s="6" t="str">
        <f t="shared" si="19"/>
        <v>RGUSHSBT Index</v>
      </c>
      <c r="F384" s="5">
        <f t="shared" si="17"/>
        <v>4.7153241625107305E-2</v>
      </c>
    </row>
    <row r="385" spans="1:6" x14ac:dyDescent="0.35">
      <c r="A385" s="10">
        <v>45485</v>
      </c>
      <c r="B385" s="9">
        <v>1.6043291421295573E-2</v>
      </c>
      <c r="D385" s="6" t="str">
        <f t="shared" si="16"/>
        <v>07/12/2024</v>
      </c>
      <c r="E385" s="6" t="str">
        <f t="shared" si="19"/>
        <v>RGUSHSBT Index</v>
      </c>
      <c r="F385" s="5">
        <f t="shared" si="17"/>
        <v>1.6043291421295573E-2</v>
      </c>
    </row>
    <row r="386" spans="1:6" x14ac:dyDescent="0.35">
      <c r="A386" s="8">
        <v>45488</v>
      </c>
      <c r="B386" s="7">
        <v>1.9356688926537725E-2</v>
      </c>
      <c r="D386" s="6" t="str">
        <f t="shared" si="16"/>
        <v>07/15/2024</v>
      </c>
      <c r="E386" s="6" t="str">
        <f t="shared" si="19"/>
        <v>RGUSHSBT Index</v>
      </c>
      <c r="F386" s="5">
        <f t="shared" si="17"/>
        <v>1.9356688926537725E-2</v>
      </c>
    </row>
    <row r="387" spans="1:6" x14ac:dyDescent="0.35">
      <c r="A387" s="10">
        <v>45489</v>
      </c>
      <c r="B387" s="9">
        <v>3.0734386340692903E-2</v>
      </c>
      <c r="D387" s="6" t="str">
        <f t="shared" ref="D387:D450" si="20">IF(A387 =  "", "",  TEXT(A387, "mm/dd/yyyy"))</f>
        <v>07/16/2024</v>
      </c>
      <c r="E387" s="6" t="str">
        <f t="shared" si="19"/>
        <v>RGUSHSBT Index</v>
      </c>
      <c r="F387" s="5">
        <f t="shared" ref="F387:F450" si="21">IF(B387="","", B387)</f>
        <v>3.0734386340692903E-2</v>
      </c>
    </row>
    <row r="388" spans="1:6" x14ac:dyDescent="0.35">
      <c r="A388" s="8">
        <v>45490</v>
      </c>
      <c r="B388" s="7">
        <v>-2.9799600439470619E-2</v>
      </c>
      <c r="D388" s="6" t="str">
        <f t="shared" si="20"/>
        <v>07/17/2024</v>
      </c>
      <c r="E388" s="6" t="str">
        <f t="shared" si="19"/>
        <v>RGUSHSBT Index</v>
      </c>
      <c r="F388" s="5">
        <f t="shared" si="21"/>
        <v>-2.9799600439470619E-2</v>
      </c>
    </row>
    <row r="389" spans="1:6" x14ac:dyDescent="0.35">
      <c r="A389" s="10">
        <v>45491</v>
      </c>
      <c r="B389" s="9">
        <v>-3.0289346953925302E-2</v>
      </c>
      <c r="D389" s="6" t="str">
        <f t="shared" si="20"/>
        <v>07/18/2024</v>
      </c>
      <c r="E389" s="6" t="str">
        <f t="shared" si="19"/>
        <v>RGUSHSBT Index</v>
      </c>
      <c r="F389" s="5">
        <f t="shared" si="21"/>
        <v>-3.0289346953925302E-2</v>
      </c>
    </row>
    <row r="390" spans="1:6" x14ac:dyDescent="0.35">
      <c r="A390" s="8">
        <v>45492</v>
      </c>
      <c r="B390" s="7">
        <v>-3.4156152861584232E-3</v>
      </c>
      <c r="D390" s="6" t="str">
        <f t="shared" si="20"/>
        <v>07/19/2024</v>
      </c>
      <c r="E390" s="6" t="str">
        <f t="shared" si="19"/>
        <v>RGUSHSBT Index</v>
      </c>
      <c r="F390" s="5">
        <f t="shared" si="21"/>
        <v>-3.4156152861584232E-3</v>
      </c>
    </row>
    <row r="391" spans="1:6" x14ac:dyDescent="0.35">
      <c r="A391" s="10">
        <v>45495</v>
      </c>
      <c r="B391" s="9">
        <v>2.5138585135062348E-2</v>
      </c>
      <c r="D391" s="6" t="str">
        <f t="shared" si="20"/>
        <v>07/22/2024</v>
      </c>
      <c r="E391" s="6" t="str">
        <f t="shared" si="19"/>
        <v>RGUSHSBT Index</v>
      </c>
      <c r="F391" s="5">
        <f t="shared" si="21"/>
        <v>2.5138585135062348E-2</v>
      </c>
    </row>
    <row r="392" spans="1:6" x14ac:dyDescent="0.35">
      <c r="A392" s="8">
        <v>45496</v>
      </c>
      <c r="B392" s="7">
        <v>1.6480133635604459E-2</v>
      </c>
      <c r="D392" s="6" t="str">
        <f t="shared" si="20"/>
        <v>07/23/2024</v>
      </c>
      <c r="E392" s="6" t="str">
        <f t="shared" si="19"/>
        <v>RGUSHSBT Index</v>
      </c>
      <c r="F392" s="5">
        <f t="shared" si="21"/>
        <v>1.6480133635604459E-2</v>
      </c>
    </row>
    <row r="393" spans="1:6" x14ac:dyDescent="0.35">
      <c r="A393" s="10">
        <v>45497</v>
      </c>
      <c r="B393" s="9">
        <v>-1.3607039224708689E-2</v>
      </c>
      <c r="D393" s="6" t="str">
        <f t="shared" si="20"/>
        <v>07/24/2024</v>
      </c>
      <c r="E393" s="6" t="str">
        <f t="shared" si="19"/>
        <v>RGUSHSBT Index</v>
      </c>
      <c r="F393" s="5">
        <f t="shared" si="21"/>
        <v>-1.3607039224708689E-2</v>
      </c>
    </row>
    <row r="394" spans="1:6" x14ac:dyDescent="0.35">
      <c r="A394" s="8">
        <v>45498</v>
      </c>
      <c r="B394" s="7">
        <v>1.3354436405179001E-2</v>
      </c>
      <c r="D394" s="6" t="str">
        <f t="shared" si="20"/>
        <v>07/25/2024</v>
      </c>
      <c r="E394" s="6" t="str">
        <f t="shared" si="19"/>
        <v>RGUSHSBT Index</v>
      </c>
      <c r="F394" s="5">
        <f t="shared" si="21"/>
        <v>1.3354436405179001E-2</v>
      </c>
    </row>
    <row r="395" spans="1:6" x14ac:dyDescent="0.35">
      <c r="A395" s="10">
        <v>45499</v>
      </c>
      <c r="B395" s="9">
        <v>1.4413851577491251E-2</v>
      </c>
      <c r="D395" s="6" t="str">
        <f t="shared" si="20"/>
        <v>07/26/2024</v>
      </c>
      <c r="E395" s="6" t="str">
        <f t="shared" si="19"/>
        <v>RGUSHSBT Index</v>
      </c>
      <c r="F395" s="5">
        <f t="shared" si="21"/>
        <v>1.4413851577491251E-2</v>
      </c>
    </row>
    <row r="396" spans="1:6" x14ac:dyDescent="0.35">
      <c r="A396" s="8">
        <v>45502</v>
      </c>
      <c r="B396" s="7">
        <v>-1.9640756827842967E-2</v>
      </c>
      <c r="D396" s="6" t="str">
        <f t="shared" si="20"/>
        <v>07/29/2024</v>
      </c>
      <c r="E396" s="6" t="str">
        <f t="shared" si="19"/>
        <v>RGUSHSBT Index</v>
      </c>
      <c r="F396" s="5">
        <f t="shared" si="21"/>
        <v>-1.9640756827842967E-2</v>
      </c>
    </row>
    <row r="397" spans="1:6" x14ac:dyDescent="0.35">
      <c r="A397" s="10">
        <v>45503</v>
      </c>
      <c r="B397" s="9">
        <v>-1.2854696817618401E-2</v>
      </c>
      <c r="D397" s="6" t="str">
        <f t="shared" si="20"/>
        <v>07/30/2024</v>
      </c>
      <c r="E397" s="6" t="str">
        <f t="shared" si="19"/>
        <v>RGUSHSBT Index</v>
      </c>
      <c r="F397" s="5">
        <f t="shared" si="21"/>
        <v>-1.2854696817618401E-2</v>
      </c>
    </row>
    <row r="398" spans="1:6" x14ac:dyDescent="0.35">
      <c r="A398" s="8">
        <v>45504</v>
      </c>
      <c r="B398" s="7">
        <v>6.7084228507447467E-3</v>
      </c>
      <c r="D398" s="6" t="str">
        <f t="shared" si="20"/>
        <v>07/31/2024</v>
      </c>
      <c r="E398" s="6" t="str">
        <f t="shared" si="19"/>
        <v>RGUSHSBT Index</v>
      </c>
      <c r="F398" s="5">
        <f t="shared" si="21"/>
        <v>6.7084228507447467E-3</v>
      </c>
    </row>
    <row r="399" spans="1:6" x14ac:dyDescent="0.35">
      <c r="A399" s="10">
        <v>45505</v>
      </c>
      <c r="B399" s="9">
        <v>-2.5022220321018245E-2</v>
      </c>
      <c r="D399" s="6" t="str">
        <f t="shared" si="20"/>
        <v>08/01/2024</v>
      </c>
      <c r="E399" s="6" t="str">
        <f t="shared" si="19"/>
        <v>RGUSHSBT Index</v>
      </c>
      <c r="F399" s="5">
        <f t="shared" si="21"/>
        <v>-2.5022220321018245E-2</v>
      </c>
    </row>
    <row r="400" spans="1:6" x14ac:dyDescent="0.35">
      <c r="A400" s="8">
        <v>45506</v>
      </c>
      <c r="B400" s="7">
        <v>-3.7132821621568821E-2</v>
      </c>
      <c r="D400" s="6" t="str">
        <f t="shared" si="20"/>
        <v>08/02/2024</v>
      </c>
      <c r="E400" s="6" t="str">
        <f t="shared" si="19"/>
        <v>RGUSHSBT Index</v>
      </c>
      <c r="F400" s="5">
        <f t="shared" si="21"/>
        <v>-3.7132821621568821E-2</v>
      </c>
    </row>
    <row r="401" spans="1:6" x14ac:dyDescent="0.35">
      <c r="A401" s="10">
        <v>45509</v>
      </c>
      <c r="B401" s="9">
        <v>-3.5284021436726473E-2</v>
      </c>
      <c r="D401" s="6" t="str">
        <f t="shared" si="20"/>
        <v>08/05/2024</v>
      </c>
      <c r="E401" s="6" t="str">
        <f t="shared" si="19"/>
        <v>RGUSHSBT Index</v>
      </c>
      <c r="F401" s="5">
        <f t="shared" si="21"/>
        <v>-3.5284021436726473E-2</v>
      </c>
    </row>
    <row r="402" spans="1:6" x14ac:dyDescent="0.35">
      <c r="A402" s="8">
        <v>45510</v>
      </c>
      <c r="B402" s="7">
        <v>1.6274584410302162E-2</v>
      </c>
      <c r="D402" s="6" t="str">
        <f t="shared" si="20"/>
        <v>08/06/2024</v>
      </c>
      <c r="E402" s="6" t="str">
        <f t="shared" si="19"/>
        <v>RGUSHSBT Index</v>
      </c>
      <c r="F402" s="5">
        <f t="shared" si="21"/>
        <v>1.6274584410302162E-2</v>
      </c>
    </row>
    <row r="403" spans="1:6" x14ac:dyDescent="0.35">
      <c r="A403" s="10">
        <v>45511</v>
      </c>
      <c r="B403" s="9">
        <v>-3.0424465577207599E-2</v>
      </c>
      <c r="D403" s="6" t="str">
        <f t="shared" si="20"/>
        <v>08/07/2024</v>
      </c>
      <c r="E403" s="6" t="str">
        <f t="shared" si="19"/>
        <v>RGUSHSBT Index</v>
      </c>
      <c r="F403" s="5">
        <f t="shared" si="21"/>
        <v>-3.0424465577207599E-2</v>
      </c>
    </row>
    <row r="404" spans="1:6" x14ac:dyDescent="0.35">
      <c r="A404" s="8">
        <v>45512</v>
      </c>
      <c r="B404" s="7">
        <v>2.724604797818389E-2</v>
      </c>
      <c r="D404" s="6" t="str">
        <f t="shared" si="20"/>
        <v>08/08/2024</v>
      </c>
      <c r="E404" s="6" t="str">
        <f t="shared" si="19"/>
        <v>RGUSHSBT Index</v>
      </c>
      <c r="F404" s="5">
        <f t="shared" si="21"/>
        <v>2.724604797818389E-2</v>
      </c>
    </row>
    <row r="405" spans="1:6" x14ac:dyDescent="0.35">
      <c r="A405" s="10">
        <v>45513</v>
      </c>
      <c r="B405" s="9">
        <v>8.9284094002359919E-3</v>
      </c>
      <c r="D405" s="6" t="str">
        <f t="shared" si="20"/>
        <v>08/09/2024</v>
      </c>
      <c r="E405" s="6" t="str">
        <f t="shared" si="19"/>
        <v>RGUSHSBT Index</v>
      </c>
      <c r="F405" s="5">
        <f t="shared" si="21"/>
        <v>8.9284094002359919E-3</v>
      </c>
    </row>
    <row r="406" spans="1:6" x14ac:dyDescent="0.35">
      <c r="A406" s="8">
        <v>45516</v>
      </c>
      <c r="B406" s="7">
        <v>4.3270577292197172E-3</v>
      </c>
      <c r="D406" s="6" t="str">
        <f t="shared" si="20"/>
        <v>08/12/2024</v>
      </c>
      <c r="E406" s="6" t="str">
        <f t="shared" si="19"/>
        <v>RGUSHSBT Index</v>
      </c>
      <c r="F406" s="5">
        <f t="shared" si="21"/>
        <v>4.3270577292197172E-3</v>
      </c>
    </row>
    <row r="407" spans="1:6" x14ac:dyDescent="0.35">
      <c r="A407" s="10">
        <v>45517</v>
      </c>
      <c r="B407" s="9">
        <v>1.5534854923592177E-2</v>
      </c>
      <c r="D407" s="6" t="str">
        <f t="shared" si="20"/>
        <v>08/13/2024</v>
      </c>
      <c r="E407" s="6" t="str">
        <f t="shared" si="19"/>
        <v>RGUSHSBT Index</v>
      </c>
      <c r="F407" s="5">
        <f t="shared" si="21"/>
        <v>1.5534854923592177E-2</v>
      </c>
    </row>
    <row r="408" spans="1:6" x14ac:dyDescent="0.35">
      <c r="A408" s="8">
        <v>45518</v>
      </c>
      <c r="B408" s="7">
        <v>-1.3173441495459012E-2</v>
      </c>
      <c r="D408" s="6" t="str">
        <f t="shared" si="20"/>
        <v>08/14/2024</v>
      </c>
      <c r="E408" s="6" t="str">
        <f t="shared" si="19"/>
        <v>RGUSHSBT Index</v>
      </c>
      <c r="F408" s="5">
        <f t="shared" si="21"/>
        <v>-1.3173441495459012E-2</v>
      </c>
    </row>
    <row r="409" spans="1:6" x14ac:dyDescent="0.35">
      <c r="A409" s="10">
        <v>45519</v>
      </c>
      <c r="B409" s="9">
        <v>2.7015159328680247E-2</v>
      </c>
      <c r="D409" s="6" t="str">
        <f t="shared" si="20"/>
        <v>08/15/2024</v>
      </c>
      <c r="E409" s="6" t="str">
        <f t="shared" si="19"/>
        <v>RGUSHSBT Index</v>
      </c>
      <c r="F409" s="5">
        <f t="shared" si="21"/>
        <v>2.7015159328680247E-2</v>
      </c>
    </row>
    <row r="410" spans="1:6" x14ac:dyDescent="0.35">
      <c r="A410" s="8">
        <v>45520</v>
      </c>
      <c r="B410" s="7">
        <v>-1.469096766495733E-3</v>
      </c>
      <c r="D410" s="6" t="str">
        <f t="shared" si="20"/>
        <v>08/16/2024</v>
      </c>
      <c r="E410" s="6" t="str">
        <f t="shared" si="19"/>
        <v>RGUSHSBT Index</v>
      </c>
      <c r="F410" s="5">
        <f t="shared" si="21"/>
        <v>-1.469096766495733E-3</v>
      </c>
    </row>
    <row r="411" spans="1:6" x14ac:dyDescent="0.35">
      <c r="A411" s="10">
        <v>45523</v>
      </c>
      <c r="B411" s="9">
        <v>2.8573775756353805E-2</v>
      </c>
      <c r="D411" s="6" t="str">
        <f t="shared" si="20"/>
        <v>08/19/2024</v>
      </c>
      <c r="E411" s="6" t="str">
        <f t="shared" si="19"/>
        <v>RGUSHSBT Index</v>
      </c>
      <c r="F411" s="5">
        <f t="shared" si="21"/>
        <v>2.8573775756353805E-2</v>
      </c>
    </row>
    <row r="412" spans="1:6" x14ac:dyDescent="0.35">
      <c r="A412" s="8">
        <v>45524</v>
      </c>
      <c r="B412" s="7">
        <v>-2.9261208930841678E-3</v>
      </c>
      <c r="D412" s="6" t="str">
        <f t="shared" si="20"/>
        <v>08/20/2024</v>
      </c>
      <c r="E412" s="6" t="str">
        <f t="shared" si="19"/>
        <v>RGUSHSBT Index</v>
      </c>
      <c r="F412" s="5">
        <f t="shared" si="21"/>
        <v>-2.9261208930841678E-3</v>
      </c>
    </row>
    <row r="413" spans="1:6" x14ac:dyDescent="0.35">
      <c r="A413" s="10">
        <v>45525</v>
      </c>
      <c r="B413" s="9">
        <v>1.5501279231781474E-2</v>
      </c>
      <c r="D413" s="6" t="str">
        <f t="shared" si="20"/>
        <v>08/21/2024</v>
      </c>
      <c r="E413" s="6" t="str">
        <f t="shared" si="19"/>
        <v>RGUSHSBT Index</v>
      </c>
      <c r="F413" s="5">
        <f t="shared" si="21"/>
        <v>1.5501279231781474E-2</v>
      </c>
    </row>
    <row r="414" spans="1:6" x14ac:dyDescent="0.35">
      <c r="A414" s="8">
        <v>45526</v>
      </c>
      <c r="B414" s="7">
        <v>-2.2445213600030801E-2</v>
      </c>
      <c r="D414" s="6" t="str">
        <f t="shared" si="20"/>
        <v>08/22/2024</v>
      </c>
      <c r="E414" s="6" t="str">
        <f t="shared" si="19"/>
        <v>RGUSHSBT Index</v>
      </c>
      <c r="F414" s="5">
        <f t="shared" si="21"/>
        <v>-2.2445213600030801E-2</v>
      </c>
    </row>
    <row r="415" spans="1:6" x14ac:dyDescent="0.35">
      <c r="A415" s="10">
        <v>45527</v>
      </c>
      <c r="B415" s="9">
        <v>2.4082922129684478E-2</v>
      </c>
      <c r="D415" s="6" t="str">
        <f t="shared" si="20"/>
        <v>08/23/2024</v>
      </c>
      <c r="E415" s="6" t="str">
        <f t="shared" si="19"/>
        <v>RGUSHSBT Index</v>
      </c>
      <c r="F415" s="5">
        <f t="shared" si="21"/>
        <v>2.4082922129684478E-2</v>
      </c>
    </row>
    <row r="416" spans="1:6" x14ac:dyDescent="0.35">
      <c r="A416" s="8">
        <v>45530</v>
      </c>
      <c r="B416" s="7">
        <v>5.0118072352445938E-3</v>
      </c>
      <c r="D416" s="6" t="str">
        <f t="shared" si="20"/>
        <v>08/26/2024</v>
      </c>
      <c r="E416" s="6" t="str">
        <f t="shared" si="19"/>
        <v>RGUSHSBT Index</v>
      </c>
      <c r="F416" s="5">
        <f t="shared" si="21"/>
        <v>5.0118072352445938E-3</v>
      </c>
    </row>
    <row r="417" spans="1:6" x14ac:dyDescent="0.35">
      <c r="A417" s="10">
        <v>45531</v>
      </c>
      <c r="B417" s="9">
        <v>-1.0550949134019268E-2</v>
      </c>
      <c r="D417" s="6" t="str">
        <f t="shared" si="20"/>
        <v>08/27/2024</v>
      </c>
      <c r="E417" s="6" t="str">
        <f t="shared" si="19"/>
        <v>RGUSHSBT Index</v>
      </c>
      <c r="F417" s="5">
        <f t="shared" si="21"/>
        <v>-1.0550949134019268E-2</v>
      </c>
    </row>
    <row r="418" spans="1:6" x14ac:dyDescent="0.35">
      <c r="A418" s="8">
        <v>45532</v>
      </c>
      <c r="B418" s="7">
        <v>-4.9127305993963101E-3</v>
      </c>
      <c r="D418" s="6" t="str">
        <f t="shared" si="20"/>
        <v>08/28/2024</v>
      </c>
      <c r="E418" s="6" t="str">
        <f t="shared" si="19"/>
        <v>RGUSHSBT Index</v>
      </c>
      <c r="F418" s="5">
        <f t="shared" si="21"/>
        <v>-4.9127305993963101E-3</v>
      </c>
    </row>
    <row r="419" spans="1:6" x14ac:dyDescent="0.35">
      <c r="A419" s="10">
        <v>45533</v>
      </c>
      <c r="B419" s="9">
        <v>1.9135038354530832E-3</v>
      </c>
      <c r="D419" s="6" t="str">
        <f t="shared" si="20"/>
        <v>08/29/2024</v>
      </c>
      <c r="E419" s="6" t="str">
        <f t="shared" si="19"/>
        <v>RGUSHSBT Index</v>
      </c>
      <c r="F419" s="5">
        <f t="shared" si="21"/>
        <v>1.9135038354530832E-3</v>
      </c>
    </row>
    <row r="420" spans="1:6" x14ac:dyDescent="0.35">
      <c r="A420" s="8">
        <v>45534</v>
      </c>
      <c r="B420" s="7">
        <v>9.5877808176951414E-3</v>
      </c>
      <c r="D420" s="6" t="str">
        <f t="shared" si="20"/>
        <v>08/30/2024</v>
      </c>
      <c r="E420" s="6" t="str">
        <f t="shared" si="19"/>
        <v>RGUSHSBT Index</v>
      </c>
      <c r="F420" s="5">
        <f t="shared" si="21"/>
        <v>9.5877808176951414E-3</v>
      </c>
    </row>
    <row r="421" spans="1:6" x14ac:dyDescent="0.35">
      <c r="A421" s="10">
        <v>45538</v>
      </c>
      <c r="B421" s="9">
        <v>-2.8177682569293407E-2</v>
      </c>
      <c r="D421" s="6" t="str">
        <f t="shared" si="20"/>
        <v>09/03/2024</v>
      </c>
      <c r="E421" s="6" t="str">
        <f t="shared" si="19"/>
        <v>RGUSHSBT Index</v>
      </c>
      <c r="F421" s="5">
        <f t="shared" si="21"/>
        <v>-2.8177682569293407E-2</v>
      </c>
    </row>
    <row r="422" spans="1:6" x14ac:dyDescent="0.35">
      <c r="A422" s="8">
        <v>45539</v>
      </c>
      <c r="B422" s="7">
        <v>7.6291468758054905E-3</v>
      </c>
      <c r="D422" s="6" t="str">
        <f t="shared" si="20"/>
        <v>09/04/2024</v>
      </c>
      <c r="E422" s="6" t="str">
        <f t="shared" si="19"/>
        <v>RGUSHSBT Index</v>
      </c>
      <c r="F422" s="5">
        <f t="shared" si="21"/>
        <v>7.6291468758054905E-3</v>
      </c>
    </row>
    <row r="423" spans="1:6" x14ac:dyDescent="0.35">
      <c r="A423" s="10">
        <v>45540</v>
      </c>
      <c r="B423" s="9">
        <v>-9.6712976835169222E-4</v>
      </c>
      <c r="D423" s="6" t="str">
        <f t="shared" si="20"/>
        <v>09/05/2024</v>
      </c>
      <c r="E423" s="6" t="str">
        <f t="shared" si="19"/>
        <v>RGUSHSBT Index</v>
      </c>
      <c r="F423" s="5">
        <f t="shared" si="21"/>
        <v>-9.6712976835169222E-4</v>
      </c>
    </row>
    <row r="424" spans="1:6" x14ac:dyDescent="0.35">
      <c r="A424" s="8">
        <v>45541</v>
      </c>
      <c r="B424" s="7">
        <v>-1.8410323436463628E-2</v>
      </c>
      <c r="D424" s="6" t="str">
        <f t="shared" si="20"/>
        <v>09/06/2024</v>
      </c>
      <c r="E424" s="6" t="str">
        <f t="shared" si="19"/>
        <v>RGUSHSBT Index</v>
      </c>
      <c r="F424" s="5">
        <f t="shared" si="21"/>
        <v>-1.8410323436463628E-2</v>
      </c>
    </row>
    <row r="425" spans="1:6" x14ac:dyDescent="0.35">
      <c r="A425" s="10">
        <v>45544</v>
      </c>
      <c r="B425" s="9">
        <v>1.8730778594247578E-2</v>
      </c>
      <c r="D425" s="6" t="str">
        <f t="shared" si="20"/>
        <v>09/09/2024</v>
      </c>
      <c r="E425" s="6" t="str">
        <f t="shared" si="19"/>
        <v>RGUSHSBT Index</v>
      </c>
      <c r="F425" s="5">
        <f t="shared" si="21"/>
        <v>1.8730778594247578E-2</v>
      </c>
    </row>
    <row r="426" spans="1:6" x14ac:dyDescent="0.35">
      <c r="A426" s="8">
        <v>45545</v>
      </c>
      <c r="B426" s="7">
        <v>3.0774032763857123E-3</v>
      </c>
      <c r="D426" s="6" t="str">
        <f t="shared" si="20"/>
        <v>09/10/2024</v>
      </c>
      <c r="E426" s="6" t="str">
        <f t="shared" si="19"/>
        <v>RGUSHSBT Index</v>
      </c>
      <c r="F426" s="5">
        <f t="shared" si="21"/>
        <v>3.0774032763857123E-3</v>
      </c>
    </row>
    <row r="427" spans="1:6" x14ac:dyDescent="0.35">
      <c r="A427" s="10">
        <v>45546</v>
      </c>
      <c r="B427" s="9">
        <v>-1.4561879479175156E-3</v>
      </c>
      <c r="D427" s="6" t="str">
        <f t="shared" si="20"/>
        <v>09/11/2024</v>
      </c>
      <c r="E427" s="6" t="str">
        <f t="shared" si="19"/>
        <v>RGUSHSBT Index</v>
      </c>
      <c r="F427" s="5">
        <f t="shared" si="21"/>
        <v>-1.4561879479175156E-3</v>
      </c>
    </row>
    <row r="428" spans="1:6" x14ac:dyDescent="0.35">
      <c r="A428" s="8">
        <v>45547</v>
      </c>
      <c r="B428" s="7">
        <v>9.8356904094728604E-4</v>
      </c>
      <c r="D428" s="6" t="str">
        <f t="shared" si="20"/>
        <v>09/12/2024</v>
      </c>
      <c r="E428" s="6" t="str">
        <f t="shared" si="19"/>
        <v>RGUSHSBT Index</v>
      </c>
      <c r="F428" s="5">
        <f t="shared" si="21"/>
        <v>9.8356904094728604E-4</v>
      </c>
    </row>
    <row r="429" spans="1:6" x14ac:dyDescent="0.35">
      <c r="A429" s="10">
        <v>45548</v>
      </c>
      <c r="B429" s="9">
        <v>3.261559565417245E-2</v>
      </c>
      <c r="D429" s="6" t="str">
        <f t="shared" si="20"/>
        <v>09/13/2024</v>
      </c>
      <c r="E429" s="6" t="str">
        <f t="shared" si="19"/>
        <v>RGUSHSBT Index</v>
      </c>
      <c r="F429" s="5">
        <f t="shared" si="21"/>
        <v>3.261559565417245E-2</v>
      </c>
    </row>
    <row r="430" spans="1:6" x14ac:dyDescent="0.35">
      <c r="A430" s="8">
        <v>45551</v>
      </c>
      <c r="B430" s="7">
        <v>-8.0836059666055775E-3</v>
      </c>
      <c r="D430" s="6" t="str">
        <f t="shared" si="20"/>
        <v>09/16/2024</v>
      </c>
      <c r="E430" s="6" t="str">
        <f t="shared" si="19"/>
        <v>RGUSHSBT Index</v>
      </c>
      <c r="F430" s="5">
        <f t="shared" si="21"/>
        <v>-8.0836059666055775E-3</v>
      </c>
    </row>
    <row r="431" spans="1:6" x14ac:dyDescent="0.35">
      <c r="A431" s="10">
        <v>45552</v>
      </c>
      <c r="B431" s="9">
        <v>1.4698514239036775E-3</v>
      </c>
      <c r="D431" s="6" t="str">
        <f t="shared" si="20"/>
        <v>09/17/2024</v>
      </c>
      <c r="E431" s="6" t="str">
        <f t="shared" si="19"/>
        <v>RGUSHSBT Index</v>
      </c>
      <c r="F431" s="5">
        <f t="shared" si="21"/>
        <v>1.4698514239036775E-3</v>
      </c>
    </row>
    <row r="432" spans="1:6" x14ac:dyDescent="0.35">
      <c r="A432" s="8">
        <v>45553</v>
      </c>
      <c r="B432" s="7">
        <v>1.7711914641377301E-3</v>
      </c>
      <c r="D432" s="6" t="str">
        <f t="shared" si="20"/>
        <v>09/18/2024</v>
      </c>
      <c r="E432" s="6" t="str">
        <f t="shared" si="19"/>
        <v>RGUSHSBT Index</v>
      </c>
      <c r="F432" s="5">
        <f t="shared" si="21"/>
        <v>1.7711914641377301E-3</v>
      </c>
    </row>
    <row r="433" spans="1:6" x14ac:dyDescent="0.35">
      <c r="A433" s="10">
        <v>45554</v>
      </c>
      <c r="B433" s="9">
        <v>2.3959933443314166E-2</v>
      </c>
      <c r="D433" s="6" t="str">
        <f t="shared" si="20"/>
        <v>09/19/2024</v>
      </c>
      <c r="E433" s="6" t="str">
        <f t="shared" si="19"/>
        <v>RGUSHSBT Index</v>
      </c>
      <c r="F433" s="5">
        <f t="shared" si="21"/>
        <v>2.3959933443314166E-2</v>
      </c>
    </row>
    <row r="434" spans="1:6" x14ac:dyDescent="0.35">
      <c r="A434" s="8">
        <v>45555</v>
      </c>
      <c r="B434" s="7">
        <v>-1.1587536406083966E-2</v>
      </c>
      <c r="D434" s="6" t="str">
        <f t="shared" si="20"/>
        <v>09/20/2024</v>
      </c>
      <c r="E434" s="6" t="str">
        <f t="shared" si="19"/>
        <v>RGUSHSBT Index</v>
      </c>
      <c r="F434" s="5">
        <f t="shared" si="21"/>
        <v>-1.1587536406083966E-2</v>
      </c>
    </row>
    <row r="435" spans="1:6" x14ac:dyDescent="0.35">
      <c r="A435" s="10">
        <v>45558</v>
      </c>
      <c r="B435" s="9">
        <v>-3.1606124315083597E-2</v>
      </c>
      <c r="D435" s="6" t="str">
        <f t="shared" si="20"/>
        <v>09/23/2024</v>
      </c>
      <c r="E435" s="6" t="str">
        <f t="shared" si="19"/>
        <v>RGUSHSBT Index</v>
      </c>
      <c r="F435" s="5">
        <f t="shared" si="21"/>
        <v>-3.1606124315083597E-2</v>
      </c>
    </row>
    <row r="436" spans="1:6" x14ac:dyDescent="0.35">
      <c r="A436" s="8">
        <v>45559</v>
      </c>
      <c r="B436" s="7">
        <v>1.475517517846265E-3</v>
      </c>
      <c r="D436" s="6" t="str">
        <f t="shared" si="20"/>
        <v>09/24/2024</v>
      </c>
      <c r="E436" s="6" t="str">
        <f t="shared" si="19"/>
        <v>RGUSHSBT Index</v>
      </c>
      <c r="F436" s="5">
        <f t="shared" si="21"/>
        <v>1.475517517846265E-3</v>
      </c>
    </row>
    <row r="437" spans="1:6" x14ac:dyDescent="0.35">
      <c r="A437" s="10">
        <v>45560</v>
      </c>
      <c r="B437" s="9">
        <v>-1.034716411504139E-2</v>
      </c>
      <c r="D437" s="6" t="str">
        <f t="shared" si="20"/>
        <v>09/25/2024</v>
      </c>
      <c r="E437" s="6" t="str">
        <f t="shared" si="19"/>
        <v>RGUSHSBT Index</v>
      </c>
      <c r="F437" s="5">
        <f t="shared" si="21"/>
        <v>-1.034716411504139E-2</v>
      </c>
    </row>
    <row r="438" spans="1:6" x14ac:dyDescent="0.35">
      <c r="A438" s="8">
        <v>45561</v>
      </c>
      <c r="B438" s="7">
        <v>1.2767657865754387E-3</v>
      </c>
      <c r="D438" s="6" t="str">
        <f t="shared" si="20"/>
        <v>09/26/2024</v>
      </c>
      <c r="E438" s="6" t="str">
        <f t="shared" si="19"/>
        <v>RGUSHSBT Index</v>
      </c>
      <c r="F438" s="5">
        <f t="shared" si="21"/>
        <v>1.2767657865754387E-3</v>
      </c>
    </row>
    <row r="439" spans="1:6" x14ac:dyDescent="0.35">
      <c r="A439" s="10">
        <v>45562</v>
      </c>
      <c r="B439" s="9">
        <v>2.04411392528289E-3</v>
      </c>
      <c r="D439" s="6" t="str">
        <f t="shared" si="20"/>
        <v>09/27/2024</v>
      </c>
      <c r="E439" s="6" t="str">
        <f t="shared" si="19"/>
        <v>RGUSHSBT Index</v>
      </c>
      <c r="F439" s="5">
        <f t="shared" si="21"/>
        <v>2.04411392528289E-3</v>
      </c>
    </row>
    <row r="440" spans="1:6" x14ac:dyDescent="0.35">
      <c r="A440" s="8">
        <v>45565</v>
      </c>
      <c r="B440" s="7">
        <v>4.4271642834938993E-3</v>
      </c>
      <c r="D440" s="6" t="str">
        <f t="shared" si="20"/>
        <v>09/30/2024</v>
      </c>
      <c r="E440" s="6" t="str">
        <f t="shared" si="19"/>
        <v>RGUSHSBT Index</v>
      </c>
      <c r="F440" s="5">
        <f t="shared" si="21"/>
        <v>4.4271642834938993E-3</v>
      </c>
    </row>
    <row r="441" spans="1:6" x14ac:dyDescent="0.35">
      <c r="A441" s="10">
        <v>45566</v>
      </c>
      <c r="B441" s="9">
        <v>-1.0369947702968311E-2</v>
      </c>
      <c r="D441" s="6" t="str">
        <f t="shared" si="20"/>
        <v>10/01/2024</v>
      </c>
      <c r="E441" s="6" t="str">
        <f t="shared" si="19"/>
        <v>RGUSHSBT Index</v>
      </c>
      <c r="F441" s="5">
        <f t="shared" si="21"/>
        <v>-1.0369947702968311E-2</v>
      </c>
    </row>
    <row r="442" spans="1:6" x14ac:dyDescent="0.35">
      <c r="A442" s="8">
        <v>45567</v>
      </c>
      <c r="B442" s="7">
        <v>2.3307517529501513E-3</v>
      </c>
      <c r="D442" s="6" t="str">
        <f t="shared" si="20"/>
        <v>10/02/2024</v>
      </c>
      <c r="E442" s="6" t="str">
        <f t="shared" si="19"/>
        <v>RGUSHSBT Index</v>
      </c>
      <c r="F442" s="5">
        <f t="shared" si="21"/>
        <v>2.3307517529501513E-3</v>
      </c>
    </row>
    <row r="443" spans="1:6" x14ac:dyDescent="0.35">
      <c r="A443" s="10">
        <v>45568</v>
      </c>
      <c r="B443" s="9">
        <v>-1.2002027962482764E-2</v>
      </c>
      <c r="D443" s="6" t="str">
        <f t="shared" si="20"/>
        <v>10/03/2024</v>
      </c>
      <c r="E443" s="6" t="str">
        <f t="shared" si="19"/>
        <v>RGUSHSBT Index</v>
      </c>
      <c r="F443" s="5">
        <f t="shared" si="21"/>
        <v>-1.2002027962482764E-2</v>
      </c>
    </row>
    <row r="444" spans="1:6" x14ac:dyDescent="0.35">
      <c r="A444" s="8">
        <v>45569</v>
      </c>
      <c r="B444" s="7">
        <v>1.2313119850002517E-2</v>
      </c>
      <c r="D444" s="6" t="str">
        <f t="shared" si="20"/>
        <v>10/04/2024</v>
      </c>
      <c r="E444" s="6" t="str">
        <f t="shared" si="19"/>
        <v>RGUSHSBT Index</v>
      </c>
      <c r="F444" s="5">
        <f t="shared" si="21"/>
        <v>1.2313119850002517E-2</v>
      </c>
    </row>
    <row r="445" spans="1:6" x14ac:dyDescent="0.35">
      <c r="A445" s="10">
        <v>45572</v>
      </c>
      <c r="B445" s="9">
        <v>-1.5482622565684785E-2</v>
      </c>
      <c r="D445" s="6" t="str">
        <f t="shared" si="20"/>
        <v>10/07/2024</v>
      </c>
      <c r="E445" s="6" t="str">
        <f t="shared" si="19"/>
        <v>RGUSHSBT Index</v>
      </c>
      <c r="F445" s="5">
        <f t="shared" si="21"/>
        <v>-1.5482622565684785E-2</v>
      </c>
    </row>
    <row r="446" spans="1:6" x14ac:dyDescent="0.35">
      <c r="A446" s="8">
        <v>45573</v>
      </c>
      <c r="B446" s="7">
        <v>1.1854605943888014E-2</v>
      </c>
      <c r="D446" s="6" t="str">
        <f t="shared" si="20"/>
        <v>10/08/2024</v>
      </c>
      <c r="E446" s="6" t="str">
        <f t="shared" si="19"/>
        <v>RGUSHSBT Index</v>
      </c>
      <c r="F446" s="5">
        <f t="shared" si="21"/>
        <v>1.1854605943888014E-2</v>
      </c>
    </row>
    <row r="447" spans="1:6" x14ac:dyDescent="0.35">
      <c r="A447" s="10">
        <v>45574</v>
      </c>
      <c r="B447" s="9">
        <v>-1.3310761387294003E-2</v>
      </c>
      <c r="D447" s="6" t="str">
        <f t="shared" si="20"/>
        <v>10/09/2024</v>
      </c>
      <c r="E447" s="6" t="str">
        <f t="shared" ref="E447:E510" si="22">IF(A447="", "", EntityLocal)</f>
        <v>RGUSHSBT Index</v>
      </c>
      <c r="F447" s="5">
        <f t="shared" si="21"/>
        <v>-1.3310761387294003E-2</v>
      </c>
    </row>
    <row r="448" spans="1:6" x14ac:dyDescent="0.35">
      <c r="A448" s="8">
        <v>45575</v>
      </c>
      <c r="B448" s="7">
        <v>-4.2223908203289553E-3</v>
      </c>
      <c r="D448" s="6" t="str">
        <f t="shared" si="20"/>
        <v>10/10/2024</v>
      </c>
      <c r="E448" s="6" t="str">
        <f t="shared" si="22"/>
        <v>RGUSHSBT Index</v>
      </c>
      <c r="F448" s="5">
        <f t="shared" si="21"/>
        <v>-4.2223908203289553E-3</v>
      </c>
    </row>
    <row r="449" spans="1:6" x14ac:dyDescent="0.35">
      <c r="A449" s="10">
        <v>45576</v>
      </c>
      <c r="B449" s="9">
        <v>3.5998934323980582E-2</v>
      </c>
      <c r="D449" s="6" t="str">
        <f t="shared" si="20"/>
        <v>10/11/2024</v>
      </c>
      <c r="E449" s="6" t="str">
        <f t="shared" si="22"/>
        <v>RGUSHSBT Index</v>
      </c>
      <c r="F449" s="5">
        <f t="shared" si="21"/>
        <v>3.5998934323980582E-2</v>
      </c>
    </row>
    <row r="450" spans="1:6" x14ac:dyDescent="0.35">
      <c r="A450" s="8">
        <v>45579</v>
      </c>
      <c r="B450" s="7">
        <v>5.4148110584235284E-3</v>
      </c>
      <c r="D450" s="6" t="str">
        <f t="shared" si="20"/>
        <v>10/14/2024</v>
      </c>
      <c r="E450" s="6" t="str">
        <f t="shared" si="22"/>
        <v>RGUSHSBT Index</v>
      </c>
      <c r="F450" s="5">
        <f t="shared" si="21"/>
        <v>5.4148110584235284E-3</v>
      </c>
    </row>
    <row r="451" spans="1:6" x14ac:dyDescent="0.35">
      <c r="A451" s="10">
        <v>45580</v>
      </c>
      <c r="B451" s="9">
        <v>8.0294692757461907E-3</v>
      </c>
      <c r="D451" s="6" t="str">
        <f t="shared" ref="D451:D514" si="23">IF(A451 =  "", "",  TEXT(A451, "mm/dd/yyyy"))</f>
        <v>10/15/2024</v>
      </c>
      <c r="E451" s="6" t="str">
        <f t="shared" si="22"/>
        <v>RGUSHSBT Index</v>
      </c>
      <c r="F451" s="5">
        <f t="shared" ref="F451:F514" si="24">IF(B451="","", B451)</f>
        <v>8.0294692757461907E-3</v>
      </c>
    </row>
    <row r="452" spans="1:6" x14ac:dyDescent="0.35">
      <c r="A452" s="8">
        <v>45581</v>
      </c>
      <c r="B452" s="7">
        <v>2.1157571977718222E-2</v>
      </c>
      <c r="D452" s="6" t="str">
        <f t="shared" si="23"/>
        <v>10/16/2024</v>
      </c>
      <c r="E452" s="6" t="str">
        <f t="shared" si="22"/>
        <v>RGUSHSBT Index</v>
      </c>
      <c r="F452" s="5">
        <f t="shared" si="24"/>
        <v>2.1157571977718222E-2</v>
      </c>
    </row>
    <row r="453" spans="1:6" x14ac:dyDescent="0.35">
      <c r="A453" s="10">
        <v>45582</v>
      </c>
      <c r="B453" s="9">
        <v>-9.3679969346164797E-3</v>
      </c>
      <c r="D453" s="6" t="str">
        <f t="shared" si="23"/>
        <v>10/17/2024</v>
      </c>
      <c r="E453" s="6" t="str">
        <f t="shared" si="22"/>
        <v>RGUSHSBT Index</v>
      </c>
      <c r="F453" s="5">
        <f t="shared" si="24"/>
        <v>-9.3679969346164797E-3</v>
      </c>
    </row>
    <row r="454" spans="1:6" x14ac:dyDescent="0.35">
      <c r="A454" s="8">
        <v>45583</v>
      </c>
      <c r="B454" s="7">
        <v>8.2868200880956439E-3</v>
      </c>
      <c r="D454" s="6" t="str">
        <f t="shared" si="23"/>
        <v>10/18/2024</v>
      </c>
      <c r="E454" s="6" t="str">
        <f t="shared" si="22"/>
        <v>RGUSHSBT Index</v>
      </c>
      <c r="F454" s="5">
        <f t="shared" si="24"/>
        <v>8.2868200880956439E-3</v>
      </c>
    </row>
    <row r="455" spans="1:6" x14ac:dyDescent="0.35">
      <c r="A455" s="10">
        <v>45586</v>
      </c>
      <c r="B455" s="9">
        <v>-1.9171572320025209E-2</v>
      </c>
      <c r="D455" s="6" t="str">
        <f t="shared" si="23"/>
        <v>10/21/2024</v>
      </c>
      <c r="E455" s="6" t="str">
        <f t="shared" si="22"/>
        <v>RGUSHSBT Index</v>
      </c>
      <c r="F455" s="5">
        <f t="shared" si="24"/>
        <v>-1.9171572320025209E-2</v>
      </c>
    </row>
    <row r="456" spans="1:6" x14ac:dyDescent="0.35">
      <c r="A456" s="8">
        <v>45587</v>
      </c>
      <c r="B456" s="7">
        <v>-1.2871263659421032E-3</v>
      </c>
      <c r="D456" s="6" t="str">
        <f t="shared" si="23"/>
        <v>10/22/2024</v>
      </c>
      <c r="E456" s="6" t="str">
        <f t="shared" si="22"/>
        <v>RGUSHSBT Index</v>
      </c>
      <c r="F456" s="5">
        <f t="shared" si="24"/>
        <v>-1.2871263659421032E-3</v>
      </c>
    </row>
    <row r="457" spans="1:6" x14ac:dyDescent="0.35">
      <c r="A457" s="10">
        <v>45588</v>
      </c>
      <c r="B457" s="9">
        <v>-1.5759730565570236E-2</v>
      </c>
      <c r="D457" s="6" t="str">
        <f t="shared" si="23"/>
        <v>10/23/2024</v>
      </c>
      <c r="E457" s="6" t="str">
        <f t="shared" si="22"/>
        <v>RGUSHSBT Index</v>
      </c>
      <c r="F457" s="5">
        <f t="shared" si="24"/>
        <v>-1.5759730565570236E-2</v>
      </c>
    </row>
    <row r="458" spans="1:6" x14ac:dyDescent="0.35">
      <c r="A458" s="8">
        <v>45589</v>
      </c>
      <c r="B458" s="7">
        <v>-2.8648112914078237E-3</v>
      </c>
      <c r="D458" s="6" t="str">
        <f t="shared" si="23"/>
        <v>10/24/2024</v>
      </c>
      <c r="E458" s="6" t="str">
        <f t="shared" si="22"/>
        <v>RGUSHSBT Index</v>
      </c>
      <c r="F458" s="5">
        <f t="shared" si="24"/>
        <v>-2.8648112914078237E-3</v>
      </c>
    </row>
    <row r="459" spans="1:6" x14ac:dyDescent="0.35">
      <c r="A459" s="10">
        <v>45590</v>
      </c>
      <c r="B459" s="9">
        <v>-2.9214097252954685E-3</v>
      </c>
      <c r="D459" s="6" t="str">
        <f t="shared" si="23"/>
        <v>10/25/2024</v>
      </c>
      <c r="E459" s="6" t="str">
        <f t="shared" si="22"/>
        <v>RGUSHSBT Index</v>
      </c>
      <c r="F459" s="5">
        <f t="shared" si="24"/>
        <v>-2.9214097252954685E-3</v>
      </c>
    </row>
    <row r="460" spans="1:6" x14ac:dyDescent="0.35">
      <c r="A460" s="8">
        <v>45593</v>
      </c>
      <c r="B460" s="7">
        <v>2.1152535466454413E-2</v>
      </c>
      <c r="D460" s="6" t="str">
        <f t="shared" si="23"/>
        <v>10/28/2024</v>
      </c>
      <c r="E460" s="6" t="str">
        <f t="shared" si="22"/>
        <v>RGUSHSBT Index</v>
      </c>
      <c r="F460" s="5">
        <f t="shared" si="24"/>
        <v>2.1152535466454413E-2</v>
      </c>
    </row>
    <row r="461" spans="1:6" x14ac:dyDescent="0.35">
      <c r="A461" s="10">
        <v>45594</v>
      </c>
      <c r="B461" s="9">
        <v>-4.0497658023998595E-3</v>
      </c>
      <c r="D461" s="6" t="str">
        <f t="shared" si="23"/>
        <v>10/29/2024</v>
      </c>
      <c r="E461" s="6" t="str">
        <f t="shared" si="22"/>
        <v>RGUSHSBT Index</v>
      </c>
      <c r="F461" s="5">
        <f t="shared" si="24"/>
        <v>-4.0497658023998595E-3</v>
      </c>
    </row>
    <row r="462" spans="1:6" x14ac:dyDescent="0.35">
      <c r="A462" s="8">
        <v>45595</v>
      </c>
      <c r="B462" s="7">
        <v>-9.1913562139434996E-3</v>
      </c>
      <c r="D462" s="6" t="str">
        <f t="shared" si="23"/>
        <v>10/30/2024</v>
      </c>
      <c r="E462" s="6" t="str">
        <f t="shared" si="22"/>
        <v>RGUSHSBT Index</v>
      </c>
      <c r="F462" s="5">
        <f t="shared" si="24"/>
        <v>-9.1913562139434996E-3</v>
      </c>
    </row>
    <row r="463" spans="1:6" x14ac:dyDescent="0.35">
      <c r="A463" s="10">
        <v>45596</v>
      </c>
      <c r="B463" s="9">
        <v>-1.6374896799397264E-2</v>
      </c>
      <c r="D463" s="6" t="str">
        <f t="shared" si="23"/>
        <v>10/31/2024</v>
      </c>
      <c r="E463" s="6" t="str">
        <f t="shared" si="22"/>
        <v>RGUSHSBT Index</v>
      </c>
      <c r="F463" s="5">
        <f t="shared" si="24"/>
        <v>-1.6374896799397264E-2</v>
      </c>
    </row>
    <row r="464" spans="1:6" x14ac:dyDescent="0.35">
      <c r="A464" s="8">
        <v>45597</v>
      </c>
      <c r="B464" s="7">
        <v>2.9905787348586836E-2</v>
      </c>
      <c r="D464" s="6" t="str">
        <f t="shared" si="23"/>
        <v>11/01/2024</v>
      </c>
      <c r="E464" s="6" t="str">
        <f t="shared" si="22"/>
        <v>RGUSHSBT Index</v>
      </c>
      <c r="F464" s="5">
        <f t="shared" si="24"/>
        <v>2.9905787348586836E-2</v>
      </c>
    </row>
    <row r="465" spans="1:6" x14ac:dyDescent="0.35">
      <c r="A465" s="10">
        <v>45600</v>
      </c>
      <c r="B465" s="9">
        <v>7.7767296867684603E-3</v>
      </c>
      <c r="D465" s="6" t="str">
        <f t="shared" si="23"/>
        <v>11/04/2024</v>
      </c>
      <c r="E465" s="6" t="str">
        <f t="shared" si="22"/>
        <v>RGUSHSBT Index</v>
      </c>
      <c r="F465" s="5">
        <f t="shared" si="24"/>
        <v>7.7767296867684603E-3</v>
      </c>
    </row>
    <row r="466" spans="1:6" x14ac:dyDescent="0.35">
      <c r="A466" s="8">
        <v>45601</v>
      </c>
      <c r="B466" s="7">
        <v>1.4518654042023777E-2</v>
      </c>
      <c r="D466" s="6" t="str">
        <f t="shared" si="23"/>
        <v>11/05/2024</v>
      </c>
      <c r="E466" s="6" t="str">
        <f t="shared" si="22"/>
        <v>RGUSHSBT Index</v>
      </c>
      <c r="F466" s="5">
        <f t="shared" si="24"/>
        <v>1.4518654042023777E-2</v>
      </c>
    </row>
    <row r="467" spans="1:6" x14ac:dyDescent="0.35">
      <c r="A467" s="10">
        <v>45602</v>
      </c>
      <c r="B467" s="9">
        <v>3.7055370414267139E-2</v>
      </c>
      <c r="D467" s="6" t="str">
        <f t="shared" si="23"/>
        <v>11/06/2024</v>
      </c>
      <c r="E467" s="6" t="str">
        <f t="shared" si="22"/>
        <v>RGUSHSBT Index</v>
      </c>
      <c r="F467" s="5">
        <f t="shared" si="24"/>
        <v>3.7055370414267139E-2</v>
      </c>
    </row>
    <row r="468" spans="1:6" x14ac:dyDescent="0.35">
      <c r="A468" s="8">
        <v>45603</v>
      </c>
      <c r="B468" s="7">
        <v>3.3904989837466454E-3</v>
      </c>
      <c r="D468" s="6" t="str">
        <f t="shared" si="23"/>
        <v>11/07/2024</v>
      </c>
      <c r="E468" s="6" t="str">
        <f t="shared" si="22"/>
        <v>RGUSHSBT Index</v>
      </c>
      <c r="F468" s="5">
        <f t="shared" si="24"/>
        <v>3.3904989837466454E-3</v>
      </c>
    </row>
    <row r="469" spans="1:6" x14ac:dyDescent="0.35">
      <c r="A469" s="10">
        <v>45604</v>
      </c>
      <c r="B469" s="9">
        <v>1.5914775772735229E-2</v>
      </c>
      <c r="D469" s="6" t="str">
        <f t="shared" si="23"/>
        <v>11/08/2024</v>
      </c>
      <c r="E469" s="6" t="str">
        <f t="shared" si="22"/>
        <v>RGUSHSBT Index</v>
      </c>
      <c r="F469" s="5">
        <f t="shared" si="24"/>
        <v>1.5914775772735229E-2</v>
      </c>
    </row>
    <row r="470" spans="1:6" x14ac:dyDescent="0.35">
      <c r="A470" s="8">
        <v>45607</v>
      </c>
      <c r="B470" s="7">
        <v>4.3593339869768188E-3</v>
      </c>
      <c r="D470" s="6" t="str">
        <f t="shared" si="23"/>
        <v>11/11/2024</v>
      </c>
      <c r="E470" s="6" t="str">
        <f t="shared" si="22"/>
        <v>RGUSHSBT Index</v>
      </c>
      <c r="F470" s="5">
        <f t="shared" si="24"/>
        <v>4.3593339869768188E-3</v>
      </c>
    </row>
    <row r="471" spans="1:6" x14ac:dyDescent="0.35">
      <c r="A471" s="10">
        <v>45608</v>
      </c>
      <c r="B471" s="9">
        <v>-3.3018217475906511E-2</v>
      </c>
      <c r="D471" s="6" t="str">
        <f t="shared" si="23"/>
        <v>11/12/2024</v>
      </c>
      <c r="E471" s="6" t="str">
        <f t="shared" si="22"/>
        <v>RGUSHSBT Index</v>
      </c>
      <c r="F471" s="5">
        <f t="shared" si="24"/>
        <v>-3.3018217475906511E-2</v>
      </c>
    </row>
    <row r="472" spans="1:6" x14ac:dyDescent="0.35">
      <c r="A472" s="8">
        <v>45609</v>
      </c>
      <c r="B472" s="7">
        <v>-1.2564963873748241E-2</v>
      </c>
      <c r="D472" s="6" t="str">
        <f t="shared" si="23"/>
        <v>11/13/2024</v>
      </c>
      <c r="E472" s="6" t="str">
        <f t="shared" si="22"/>
        <v>RGUSHSBT Index</v>
      </c>
      <c r="F472" s="5">
        <f t="shared" si="24"/>
        <v>-1.2564963873748241E-2</v>
      </c>
    </row>
    <row r="473" spans="1:6" x14ac:dyDescent="0.35">
      <c r="A473" s="10">
        <v>45610</v>
      </c>
      <c r="B473" s="9">
        <v>-3.2317591745695436E-2</v>
      </c>
      <c r="D473" s="6" t="str">
        <f t="shared" si="23"/>
        <v>11/14/2024</v>
      </c>
      <c r="E473" s="6" t="str">
        <f t="shared" si="22"/>
        <v>RGUSHSBT Index</v>
      </c>
      <c r="F473" s="5">
        <f t="shared" si="24"/>
        <v>-3.2317591745695436E-2</v>
      </c>
    </row>
    <row r="474" spans="1:6" x14ac:dyDescent="0.35">
      <c r="A474" s="8">
        <v>45611</v>
      </c>
      <c r="B474" s="7">
        <v>-6.0828881755836416E-2</v>
      </c>
      <c r="D474" s="6" t="str">
        <f t="shared" si="23"/>
        <v>11/15/2024</v>
      </c>
      <c r="E474" s="6" t="str">
        <f t="shared" si="22"/>
        <v>RGUSHSBT Index</v>
      </c>
      <c r="F474" s="5">
        <f t="shared" si="24"/>
        <v>-6.0828881755836416E-2</v>
      </c>
    </row>
    <row r="475" spans="1:6" x14ac:dyDescent="0.35">
      <c r="A475" s="10">
        <v>45614</v>
      </c>
      <c r="B475" s="9">
        <v>-6.3008094194327083E-3</v>
      </c>
      <c r="D475" s="6" t="str">
        <f t="shared" si="23"/>
        <v>11/18/2024</v>
      </c>
      <c r="E475" s="6" t="str">
        <f t="shared" si="22"/>
        <v>RGUSHSBT Index</v>
      </c>
      <c r="F475" s="5">
        <f t="shared" si="24"/>
        <v>-6.3008094194327083E-3</v>
      </c>
    </row>
    <row r="476" spans="1:6" x14ac:dyDescent="0.35">
      <c r="A476" s="8">
        <v>45615</v>
      </c>
      <c r="B476" s="7">
        <v>2.1842374460286498E-2</v>
      </c>
      <c r="D476" s="6" t="str">
        <f t="shared" si="23"/>
        <v>11/19/2024</v>
      </c>
      <c r="E476" s="6" t="str">
        <f t="shared" si="22"/>
        <v>RGUSHSBT Index</v>
      </c>
      <c r="F476" s="5">
        <f t="shared" si="24"/>
        <v>2.1842374460286498E-2</v>
      </c>
    </row>
    <row r="477" spans="1:6" x14ac:dyDescent="0.35">
      <c r="A477" s="10">
        <v>45616</v>
      </c>
      <c r="B477" s="9">
        <v>2.0170705775976357E-3</v>
      </c>
      <c r="D477" s="6" t="str">
        <f t="shared" si="23"/>
        <v>11/20/2024</v>
      </c>
      <c r="E477" s="6" t="str">
        <f t="shared" si="22"/>
        <v>RGUSHSBT Index</v>
      </c>
      <c r="F477" s="5">
        <f t="shared" si="24"/>
        <v>2.0170705775976357E-3</v>
      </c>
    </row>
    <row r="478" spans="1:6" x14ac:dyDescent="0.35">
      <c r="A478" s="8">
        <v>45617</v>
      </c>
      <c r="B478" s="7">
        <v>2.8930823846732975E-3</v>
      </c>
      <c r="D478" s="6" t="str">
        <f t="shared" si="23"/>
        <v>11/21/2024</v>
      </c>
      <c r="E478" s="6" t="str">
        <f t="shared" si="22"/>
        <v>RGUSHSBT Index</v>
      </c>
      <c r="F478" s="5">
        <f t="shared" si="24"/>
        <v>2.8930823846732975E-3</v>
      </c>
    </row>
    <row r="479" spans="1:6" x14ac:dyDescent="0.35">
      <c r="A479" s="10">
        <v>45618</v>
      </c>
      <c r="B479" s="9">
        <v>2.3975201647290958E-2</v>
      </c>
      <c r="D479" s="6" t="str">
        <f t="shared" si="23"/>
        <v>11/22/2024</v>
      </c>
      <c r="E479" s="6" t="str">
        <f t="shared" si="22"/>
        <v>RGUSHSBT Index</v>
      </c>
      <c r="F479" s="5">
        <f t="shared" si="24"/>
        <v>2.3975201647290958E-2</v>
      </c>
    </row>
    <row r="480" spans="1:6" x14ac:dyDescent="0.35">
      <c r="A480" s="8">
        <v>45621</v>
      </c>
      <c r="B480" s="7">
        <v>1.3586261171006286E-2</v>
      </c>
      <c r="D480" s="6" t="str">
        <f t="shared" si="23"/>
        <v>11/25/2024</v>
      </c>
      <c r="E480" s="6" t="str">
        <f t="shared" si="22"/>
        <v>RGUSHSBT Index</v>
      </c>
      <c r="F480" s="5">
        <f t="shared" si="24"/>
        <v>1.3586261171006286E-2</v>
      </c>
    </row>
    <row r="481" spans="1:6" x14ac:dyDescent="0.35">
      <c r="A481" s="10">
        <v>45622</v>
      </c>
      <c r="B481" s="9">
        <v>9.3266963583965301E-3</v>
      </c>
      <c r="D481" s="6" t="str">
        <f t="shared" si="23"/>
        <v>11/26/2024</v>
      </c>
      <c r="E481" s="6" t="str">
        <f t="shared" si="22"/>
        <v>RGUSHSBT Index</v>
      </c>
      <c r="F481" s="5">
        <f t="shared" si="24"/>
        <v>9.3266963583965301E-3</v>
      </c>
    </row>
    <row r="482" spans="1:6" x14ac:dyDescent="0.35">
      <c r="A482" s="8">
        <v>45623</v>
      </c>
      <c r="B482" s="7">
        <v>1.5908972925014177E-2</v>
      </c>
      <c r="D482" s="6" t="str">
        <f t="shared" si="23"/>
        <v>11/27/2024</v>
      </c>
      <c r="E482" s="6" t="str">
        <f t="shared" si="22"/>
        <v>RGUSHSBT Index</v>
      </c>
      <c r="F482" s="5">
        <f t="shared" si="24"/>
        <v>1.5908972925014177E-2</v>
      </c>
    </row>
    <row r="483" spans="1:6" x14ac:dyDescent="0.35">
      <c r="A483" s="10">
        <v>45625</v>
      </c>
      <c r="B483" s="9">
        <v>-2.7175932808087963E-3</v>
      </c>
      <c r="D483" s="6" t="str">
        <f t="shared" si="23"/>
        <v>11/29/2024</v>
      </c>
      <c r="E483" s="6" t="str">
        <f t="shared" si="22"/>
        <v>RGUSHSBT Index</v>
      </c>
      <c r="F483" s="5">
        <f t="shared" si="24"/>
        <v>-2.7175932808087963E-3</v>
      </c>
    </row>
    <row r="484" spans="1:6" x14ac:dyDescent="0.35">
      <c r="A484" s="8">
        <v>45628</v>
      </c>
      <c r="B484" s="7">
        <v>-1.1295934860885259E-3</v>
      </c>
      <c r="D484" s="6" t="str">
        <f t="shared" si="23"/>
        <v>12/02/2024</v>
      </c>
      <c r="E484" s="6" t="str">
        <f t="shared" si="22"/>
        <v>RGUSHSBT Index</v>
      </c>
      <c r="F484" s="5">
        <f t="shared" si="24"/>
        <v>-1.1295934860885259E-3</v>
      </c>
    </row>
    <row r="485" spans="1:6" x14ac:dyDescent="0.35">
      <c r="A485" s="10">
        <v>45629</v>
      </c>
      <c r="B485" s="9">
        <v>-1.9257449174930347E-2</v>
      </c>
      <c r="D485" s="6" t="str">
        <f t="shared" si="23"/>
        <v>12/03/2024</v>
      </c>
      <c r="E485" s="6" t="str">
        <f t="shared" si="22"/>
        <v>RGUSHSBT Index</v>
      </c>
      <c r="F485" s="5">
        <f t="shared" si="24"/>
        <v>-1.9257449174930347E-2</v>
      </c>
    </row>
    <row r="486" spans="1:6" x14ac:dyDescent="0.35">
      <c r="A486" s="8">
        <v>45630</v>
      </c>
      <c r="B486" s="7">
        <v>7.6245678936030341E-3</v>
      </c>
      <c r="D486" s="6" t="str">
        <f t="shared" si="23"/>
        <v>12/04/2024</v>
      </c>
      <c r="E486" s="6" t="str">
        <f t="shared" si="22"/>
        <v>RGUSHSBT Index</v>
      </c>
      <c r="F486" s="5">
        <f t="shared" si="24"/>
        <v>7.6245678936030341E-3</v>
      </c>
    </row>
    <row r="487" spans="1:6" x14ac:dyDescent="0.35">
      <c r="A487" s="10">
        <v>45631</v>
      </c>
      <c r="B487" s="9">
        <v>-2.2259397245535256E-2</v>
      </c>
      <c r="D487" s="6" t="str">
        <f t="shared" si="23"/>
        <v>12/05/2024</v>
      </c>
      <c r="E487" s="6" t="str">
        <f t="shared" si="22"/>
        <v>RGUSHSBT Index</v>
      </c>
      <c r="F487" s="5">
        <f t="shared" si="24"/>
        <v>-2.2259397245535256E-2</v>
      </c>
    </row>
    <row r="488" spans="1:6" x14ac:dyDescent="0.35">
      <c r="A488" s="8">
        <v>45632</v>
      </c>
      <c r="B488" s="7">
        <v>2.7841124359596146E-2</v>
      </c>
      <c r="D488" s="6" t="str">
        <f t="shared" si="23"/>
        <v>12/06/2024</v>
      </c>
      <c r="E488" s="6" t="str">
        <f t="shared" si="22"/>
        <v>RGUSHSBT Index</v>
      </c>
      <c r="F488" s="5">
        <f t="shared" si="24"/>
        <v>2.7841124359596146E-2</v>
      </c>
    </row>
    <row r="489" spans="1:6" x14ac:dyDescent="0.35">
      <c r="A489" s="10">
        <v>45635</v>
      </c>
      <c r="B489" s="9">
        <v>-1.3255886026615014E-2</v>
      </c>
      <c r="D489" s="6" t="str">
        <f t="shared" si="23"/>
        <v>12/09/2024</v>
      </c>
      <c r="E489" s="6" t="str">
        <f t="shared" si="22"/>
        <v>RGUSHSBT Index</v>
      </c>
      <c r="F489" s="5">
        <f t="shared" si="24"/>
        <v>-1.3255886026615014E-2</v>
      </c>
    </row>
    <row r="490" spans="1:6" x14ac:dyDescent="0.35">
      <c r="A490" s="8">
        <v>45636</v>
      </c>
      <c r="B490" s="7">
        <v>-3.0456031483924446E-3</v>
      </c>
      <c r="D490" s="6" t="str">
        <f t="shared" si="23"/>
        <v>12/10/2024</v>
      </c>
      <c r="E490" s="6" t="str">
        <f t="shared" si="22"/>
        <v>RGUSHSBT Index</v>
      </c>
      <c r="F490" s="5">
        <f t="shared" si="24"/>
        <v>-3.0456031483924446E-3</v>
      </c>
    </row>
    <row r="491" spans="1:6" x14ac:dyDescent="0.35">
      <c r="A491" s="10">
        <v>45637</v>
      </c>
      <c r="B491" s="9">
        <v>-7.909345629334626E-3</v>
      </c>
      <c r="D491" s="6" t="str">
        <f t="shared" si="23"/>
        <v>12/11/2024</v>
      </c>
      <c r="E491" s="6" t="str">
        <f t="shared" si="22"/>
        <v>RGUSHSBT Index</v>
      </c>
      <c r="F491" s="5">
        <f t="shared" si="24"/>
        <v>-7.909345629334626E-3</v>
      </c>
    </row>
    <row r="492" spans="1:6" x14ac:dyDescent="0.35">
      <c r="A492" s="8">
        <v>45638</v>
      </c>
      <c r="B492" s="7">
        <v>-4.3679814474456499E-2</v>
      </c>
      <c r="D492" s="6" t="str">
        <f t="shared" si="23"/>
        <v>12/12/2024</v>
      </c>
      <c r="E492" s="6" t="str">
        <f t="shared" si="22"/>
        <v>RGUSHSBT Index</v>
      </c>
      <c r="F492" s="5">
        <f t="shared" si="24"/>
        <v>-4.3679814474456499E-2</v>
      </c>
    </row>
    <row r="493" spans="1:6" x14ac:dyDescent="0.35">
      <c r="A493" s="10">
        <v>45639</v>
      </c>
      <c r="B493" s="9">
        <v>-9.606894626025396E-3</v>
      </c>
      <c r="D493" s="6" t="str">
        <f t="shared" si="23"/>
        <v>12/13/2024</v>
      </c>
      <c r="E493" s="6" t="str">
        <f t="shared" si="22"/>
        <v>RGUSHSBT Index</v>
      </c>
      <c r="F493" s="5">
        <f t="shared" si="24"/>
        <v>-9.606894626025396E-3</v>
      </c>
    </row>
    <row r="494" spans="1:6" x14ac:dyDescent="0.35">
      <c r="A494" s="8">
        <v>45642</v>
      </c>
      <c r="B494" s="7">
        <v>1.9087750312414224E-2</v>
      </c>
      <c r="D494" s="6" t="str">
        <f t="shared" si="23"/>
        <v>12/16/2024</v>
      </c>
      <c r="E494" s="6" t="str">
        <f t="shared" si="22"/>
        <v>RGUSHSBT Index</v>
      </c>
      <c r="F494" s="5">
        <f t="shared" si="24"/>
        <v>1.9087750312414224E-2</v>
      </c>
    </row>
    <row r="495" spans="1:6" x14ac:dyDescent="0.35">
      <c r="A495" s="10">
        <v>45643</v>
      </c>
      <c r="B495" s="9">
        <v>-3.8906044768121087E-3</v>
      </c>
      <c r="D495" s="6" t="str">
        <f t="shared" si="23"/>
        <v>12/17/2024</v>
      </c>
      <c r="E495" s="6" t="str">
        <f t="shared" si="22"/>
        <v>RGUSHSBT Index</v>
      </c>
      <c r="F495" s="5">
        <f t="shared" si="24"/>
        <v>-3.8906044768121087E-3</v>
      </c>
    </row>
    <row r="496" spans="1:6" x14ac:dyDescent="0.35">
      <c r="A496" s="8">
        <v>45644</v>
      </c>
      <c r="B496" s="7">
        <v>-5.327001316112126E-2</v>
      </c>
      <c r="D496" s="6" t="str">
        <f t="shared" si="23"/>
        <v>12/18/2024</v>
      </c>
      <c r="E496" s="6" t="str">
        <f t="shared" si="22"/>
        <v>RGUSHSBT Index</v>
      </c>
      <c r="F496" s="5">
        <f t="shared" si="24"/>
        <v>-5.327001316112126E-2</v>
      </c>
    </row>
    <row r="497" spans="1:6" x14ac:dyDescent="0.35">
      <c r="A497" s="10">
        <v>45645</v>
      </c>
      <c r="B497" s="9">
        <v>1.1813770574991024E-3</v>
      </c>
      <c r="D497" s="6" t="str">
        <f t="shared" si="23"/>
        <v>12/19/2024</v>
      </c>
      <c r="E497" s="6" t="str">
        <f t="shared" si="22"/>
        <v>RGUSHSBT Index</v>
      </c>
      <c r="F497" s="5">
        <f t="shared" si="24"/>
        <v>1.1813770574991024E-3</v>
      </c>
    </row>
    <row r="498" spans="1:6" x14ac:dyDescent="0.35">
      <c r="A498" s="8">
        <v>45646</v>
      </c>
      <c r="B498" s="7">
        <v>1.7913568221234979E-2</v>
      </c>
      <c r="D498" s="6" t="str">
        <f t="shared" si="23"/>
        <v>12/20/2024</v>
      </c>
      <c r="E498" s="6" t="str">
        <f t="shared" si="22"/>
        <v>RGUSHSBT Index</v>
      </c>
      <c r="F498" s="5">
        <f t="shared" si="24"/>
        <v>1.7913568221234979E-2</v>
      </c>
    </row>
    <row r="499" spans="1:6" x14ac:dyDescent="0.35">
      <c r="A499" s="10">
        <v>45649</v>
      </c>
      <c r="B499" s="9">
        <v>1.7530893012278575E-3</v>
      </c>
      <c r="D499" s="6" t="str">
        <f t="shared" si="23"/>
        <v>12/23/2024</v>
      </c>
      <c r="E499" s="6" t="str">
        <f t="shared" si="22"/>
        <v>RGUSHSBT Index</v>
      </c>
      <c r="F499" s="5">
        <f t="shared" si="24"/>
        <v>1.7530893012278575E-3</v>
      </c>
    </row>
    <row r="500" spans="1:6" x14ac:dyDescent="0.35">
      <c r="A500" s="8">
        <v>45650</v>
      </c>
      <c r="B500" s="7">
        <v>-1.5791612841435613E-4</v>
      </c>
      <c r="D500" s="6" t="str">
        <f t="shared" si="23"/>
        <v>12/24/2024</v>
      </c>
      <c r="E500" s="6" t="str">
        <f t="shared" si="22"/>
        <v>RGUSHSBT Index</v>
      </c>
      <c r="F500" s="5">
        <f t="shared" si="24"/>
        <v>-1.5791612841435613E-4</v>
      </c>
    </row>
    <row r="501" spans="1:6" x14ac:dyDescent="0.35">
      <c r="A501" s="10">
        <v>45652</v>
      </c>
      <c r="B501" s="9">
        <v>1.2945989332504826E-2</v>
      </c>
      <c r="D501" s="6" t="str">
        <f t="shared" si="23"/>
        <v>12/26/2024</v>
      </c>
      <c r="E501" s="6" t="str">
        <f t="shared" si="22"/>
        <v>RGUSHSBT Index</v>
      </c>
      <c r="F501" s="5">
        <f t="shared" si="24"/>
        <v>1.2945989332504826E-2</v>
      </c>
    </row>
    <row r="502" spans="1:6" x14ac:dyDescent="0.35">
      <c r="A502" s="8">
        <v>45653</v>
      </c>
      <c r="B502" s="7">
        <v>-2.0694238535862206E-2</v>
      </c>
      <c r="D502" s="6" t="str">
        <f t="shared" si="23"/>
        <v>12/27/2024</v>
      </c>
      <c r="E502" s="6" t="str">
        <f t="shared" si="22"/>
        <v>RGUSHSBT Index</v>
      </c>
      <c r="F502" s="5">
        <f t="shared" si="24"/>
        <v>-2.0694238535862206E-2</v>
      </c>
    </row>
    <row r="503" spans="1:6" x14ac:dyDescent="0.35">
      <c r="A503" s="10">
        <v>45656</v>
      </c>
      <c r="B503" s="9">
        <v>-1.683267036259788E-2</v>
      </c>
      <c r="D503" s="6" t="str">
        <f t="shared" si="23"/>
        <v>12/30/2024</v>
      </c>
      <c r="E503" s="6" t="str">
        <f t="shared" si="22"/>
        <v>RGUSHSBT Index</v>
      </c>
      <c r="F503" s="5">
        <f t="shared" si="24"/>
        <v>-1.683267036259788E-2</v>
      </c>
    </row>
    <row r="504" spans="1:6" x14ac:dyDescent="0.35">
      <c r="A504" s="8">
        <v>45657</v>
      </c>
      <c r="B504" s="7">
        <v>1.6645649432533711E-3</v>
      </c>
      <c r="D504" s="6" t="str">
        <f t="shared" si="23"/>
        <v>12/31/2024</v>
      </c>
      <c r="E504" s="6" t="str">
        <f t="shared" si="22"/>
        <v>RGUSHSBT Index</v>
      </c>
      <c r="F504" s="5">
        <f t="shared" si="24"/>
        <v>1.6645649432533711E-3</v>
      </c>
    </row>
    <row r="505" spans="1:6" x14ac:dyDescent="0.35">
      <c r="A505" s="10">
        <v>45659</v>
      </c>
      <c r="B505" s="9">
        <v>1.7023498417713195E-2</v>
      </c>
      <c r="D505" s="6" t="str">
        <f t="shared" si="23"/>
        <v>01/02/2025</v>
      </c>
      <c r="E505" s="6" t="str">
        <f t="shared" si="22"/>
        <v>RGUSHSBT Index</v>
      </c>
      <c r="F505" s="5">
        <f t="shared" si="24"/>
        <v>1.7023498417713195E-2</v>
      </c>
    </row>
    <row r="506" spans="1:6" x14ac:dyDescent="0.35">
      <c r="A506" s="8">
        <v>45660</v>
      </c>
      <c r="B506" s="7">
        <v>1.6947032379959606E-2</v>
      </c>
      <c r="D506" s="6" t="str">
        <f t="shared" si="23"/>
        <v>01/03/2025</v>
      </c>
      <c r="E506" s="6" t="str">
        <f t="shared" si="22"/>
        <v>RGUSHSBT Index</v>
      </c>
      <c r="F506" s="5">
        <f t="shared" si="24"/>
        <v>1.6947032379959606E-2</v>
      </c>
    </row>
    <row r="507" spans="1:6" x14ac:dyDescent="0.35">
      <c r="A507" s="10">
        <v>45663</v>
      </c>
      <c r="B507" s="9">
        <v>-8.6282891027809148E-3</v>
      </c>
      <c r="D507" s="6" t="str">
        <f t="shared" si="23"/>
        <v>01/06/2025</v>
      </c>
      <c r="E507" s="6" t="str">
        <f t="shared" si="22"/>
        <v>RGUSHSBT Index</v>
      </c>
      <c r="F507" s="5">
        <f t="shared" si="24"/>
        <v>-8.6282891027809148E-3</v>
      </c>
    </row>
    <row r="508" spans="1:6" x14ac:dyDescent="0.35">
      <c r="A508" s="8">
        <v>45664</v>
      </c>
      <c r="B508" s="7">
        <v>7.7547232726551641E-6</v>
      </c>
      <c r="D508" s="6" t="str">
        <f t="shared" si="23"/>
        <v>01/07/2025</v>
      </c>
      <c r="E508" s="6" t="str">
        <f t="shared" si="22"/>
        <v>RGUSHSBT Index</v>
      </c>
      <c r="F508" s="5">
        <f t="shared" si="24"/>
        <v>7.7547232726551641E-6</v>
      </c>
    </row>
    <row r="509" spans="1:6" x14ac:dyDescent="0.35">
      <c r="A509" s="10">
        <v>45665</v>
      </c>
      <c r="B509" s="9">
        <v>-1.1112432275941915E-2</v>
      </c>
      <c r="D509" s="6" t="str">
        <f t="shared" si="23"/>
        <v>01/08/2025</v>
      </c>
      <c r="E509" s="6" t="str">
        <f t="shared" si="22"/>
        <v>RGUSHSBT Index</v>
      </c>
      <c r="F509" s="5">
        <f t="shared" si="24"/>
        <v>-1.1112432275941915E-2</v>
      </c>
    </row>
    <row r="510" spans="1:6" x14ac:dyDescent="0.35">
      <c r="A510" s="8">
        <v>45667</v>
      </c>
      <c r="B510" s="7">
        <v>-4.2416321409433667E-2</v>
      </c>
      <c r="D510" s="6" t="str">
        <f t="shared" si="23"/>
        <v>01/10/2025</v>
      </c>
      <c r="E510" s="6" t="str">
        <f t="shared" si="22"/>
        <v>RGUSHSBT Index</v>
      </c>
      <c r="F510" s="5">
        <f t="shared" si="24"/>
        <v>-4.2416321409433667E-2</v>
      </c>
    </row>
    <row r="511" spans="1:6" x14ac:dyDescent="0.35">
      <c r="A511" s="10">
        <v>45670</v>
      </c>
      <c r="B511" s="9">
        <v>-7.9653216428545726E-3</v>
      </c>
      <c r="D511" s="6" t="str">
        <f t="shared" si="23"/>
        <v>01/13/2025</v>
      </c>
      <c r="E511" s="6" t="str">
        <f t="shared" ref="E511:E574" si="25">IF(A511="", "", EntityLocal)</f>
        <v>RGUSHSBT Index</v>
      </c>
      <c r="F511" s="5">
        <f t="shared" si="24"/>
        <v>-7.9653216428545726E-3</v>
      </c>
    </row>
    <row r="512" spans="1:6" x14ac:dyDescent="0.35">
      <c r="A512" s="8">
        <v>45671</v>
      </c>
      <c r="B512" s="7">
        <v>-2.6561554124704092E-2</v>
      </c>
      <c r="D512" s="6" t="str">
        <f t="shared" si="23"/>
        <v>01/14/2025</v>
      </c>
      <c r="E512" s="6" t="str">
        <f t="shared" si="25"/>
        <v>RGUSHSBT Index</v>
      </c>
      <c r="F512" s="5">
        <f t="shared" si="24"/>
        <v>-2.6561554124704092E-2</v>
      </c>
    </row>
    <row r="513" spans="1:6" x14ac:dyDescent="0.35">
      <c r="A513" s="10">
        <v>45672</v>
      </c>
      <c r="B513" s="9">
        <v>3.320829811712226E-2</v>
      </c>
      <c r="D513" s="6" t="str">
        <f t="shared" si="23"/>
        <v>01/15/2025</v>
      </c>
      <c r="E513" s="6" t="str">
        <f t="shared" si="25"/>
        <v>RGUSHSBT Index</v>
      </c>
      <c r="F513" s="5">
        <f t="shared" si="24"/>
        <v>3.320829811712226E-2</v>
      </c>
    </row>
    <row r="514" spans="1:6" x14ac:dyDescent="0.35">
      <c r="A514" s="8">
        <v>45673</v>
      </c>
      <c r="B514" s="7">
        <v>-8.4510895585679889E-3</v>
      </c>
      <c r="D514" s="6" t="str">
        <f t="shared" si="23"/>
        <v>01/16/2025</v>
      </c>
      <c r="E514" s="6" t="str">
        <f t="shared" si="25"/>
        <v>RGUSHSBT Index</v>
      </c>
      <c r="F514" s="5">
        <f t="shared" si="24"/>
        <v>-8.4510895585679889E-3</v>
      </c>
    </row>
    <row r="515" spans="1:6" x14ac:dyDescent="0.35">
      <c r="A515" s="10">
        <v>45674</v>
      </c>
      <c r="B515" s="9">
        <v>3.1096003046139366E-3</v>
      </c>
      <c r="D515" s="6" t="str">
        <f t="shared" ref="D515:D578" si="26">IF(A515 =  "", "",  TEXT(A515, "mm/dd/yyyy"))</f>
        <v>01/17/2025</v>
      </c>
      <c r="E515" s="6" t="str">
        <f t="shared" si="25"/>
        <v>RGUSHSBT Index</v>
      </c>
      <c r="F515" s="5">
        <f t="shared" ref="F515:F578" si="27">IF(B515="","", B515)</f>
        <v>3.1096003046139366E-3</v>
      </c>
    </row>
    <row r="516" spans="1:6" x14ac:dyDescent="0.35">
      <c r="A516" s="8">
        <v>45678</v>
      </c>
      <c r="B516" s="7">
        <v>3.5095295596515391E-2</v>
      </c>
      <c r="D516" s="6" t="str">
        <f t="shared" si="26"/>
        <v>01/21/2025</v>
      </c>
      <c r="E516" s="6" t="str">
        <f t="shared" si="25"/>
        <v>RGUSHSBT Index</v>
      </c>
      <c r="F516" s="5">
        <f t="shared" si="27"/>
        <v>3.5095295596515391E-2</v>
      </c>
    </row>
    <row r="517" spans="1:6" x14ac:dyDescent="0.35">
      <c r="A517" s="10">
        <v>45679</v>
      </c>
      <c r="B517" s="9">
        <v>9.8614979059929823E-3</v>
      </c>
      <c r="D517" s="6" t="str">
        <f t="shared" si="26"/>
        <v>01/22/2025</v>
      </c>
      <c r="E517" s="6" t="str">
        <f t="shared" si="25"/>
        <v>RGUSHSBT Index</v>
      </c>
      <c r="F517" s="5">
        <f t="shared" si="27"/>
        <v>9.8614979059929823E-3</v>
      </c>
    </row>
    <row r="518" spans="1:6" x14ac:dyDescent="0.35">
      <c r="A518" s="8">
        <v>45680</v>
      </c>
      <c r="B518" s="7">
        <v>1.5935877565305245E-2</v>
      </c>
      <c r="D518" s="6" t="str">
        <f t="shared" si="26"/>
        <v>01/23/2025</v>
      </c>
      <c r="E518" s="6" t="str">
        <f t="shared" si="25"/>
        <v>RGUSHSBT Index</v>
      </c>
      <c r="F518" s="5">
        <f t="shared" si="27"/>
        <v>1.5935877565305245E-2</v>
      </c>
    </row>
    <row r="519" spans="1:6" x14ac:dyDescent="0.35">
      <c r="A519" s="10">
        <v>45681</v>
      </c>
      <c r="B519" s="9">
        <v>-5.5843493171087054E-3</v>
      </c>
      <c r="D519" s="6" t="str">
        <f t="shared" si="26"/>
        <v>01/24/2025</v>
      </c>
      <c r="E519" s="6" t="str">
        <f t="shared" si="25"/>
        <v>RGUSHSBT Index</v>
      </c>
      <c r="F519" s="5">
        <f t="shared" si="27"/>
        <v>-5.5843493171087054E-3</v>
      </c>
    </row>
    <row r="520" spans="1:6" x14ac:dyDescent="0.35">
      <c r="A520" s="8">
        <v>45684</v>
      </c>
      <c r="B520" s="7">
        <v>2.9875782383445917E-3</v>
      </c>
      <c r="D520" s="6" t="str">
        <f t="shared" si="26"/>
        <v>01/27/2025</v>
      </c>
      <c r="E520" s="6" t="str">
        <f t="shared" si="25"/>
        <v>RGUSHSBT Index</v>
      </c>
      <c r="F520" s="5">
        <f t="shared" si="27"/>
        <v>2.9875782383445917E-3</v>
      </c>
    </row>
    <row r="521" spans="1:6" x14ac:dyDescent="0.35">
      <c r="A521" s="10">
        <v>45685</v>
      </c>
      <c r="B521" s="9">
        <v>4.5056742929858703E-3</v>
      </c>
      <c r="D521" s="6" t="str">
        <f t="shared" si="26"/>
        <v>01/28/2025</v>
      </c>
      <c r="E521" s="6" t="str">
        <f t="shared" si="25"/>
        <v>RGUSHSBT Index</v>
      </c>
      <c r="F521" s="5">
        <f t="shared" si="27"/>
        <v>4.5056742929858703E-3</v>
      </c>
    </row>
    <row r="522" spans="1:6" x14ac:dyDescent="0.35">
      <c r="A522" s="8">
        <v>45686</v>
      </c>
      <c r="B522" s="7">
        <v>-2.334509636638742E-3</v>
      </c>
      <c r="D522" s="6" t="str">
        <f t="shared" si="26"/>
        <v>01/29/2025</v>
      </c>
      <c r="E522" s="6" t="str">
        <f t="shared" si="25"/>
        <v>RGUSHSBT Index</v>
      </c>
      <c r="F522" s="5">
        <f t="shared" si="27"/>
        <v>-2.334509636638742E-3</v>
      </c>
    </row>
    <row r="523" spans="1:6" x14ac:dyDescent="0.35">
      <c r="A523" s="10">
        <v>45687</v>
      </c>
      <c r="B523" s="9">
        <v>1.2583505656876572E-2</v>
      </c>
      <c r="D523" s="6" t="str">
        <f t="shared" si="26"/>
        <v>01/30/2025</v>
      </c>
      <c r="E523" s="6" t="str">
        <f t="shared" si="25"/>
        <v>RGUSHSBT Index</v>
      </c>
      <c r="F523" s="5">
        <f t="shared" si="27"/>
        <v>1.2583505656876572E-2</v>
      </c>
    </row>
    <row r="524" spans="1:6" x14ac:dyDescent="0.35">
      <c r="A524" s="8">
        <v>45688</v>
      </c>
      <c r="B524" s="7">
        <v>-1.3435425506323586E-2</v>
      </c>
      <c r="D524" s="6" t="str">
        <f t="shared" si="26"/>
        <v>01/31/2025</v>
      </c>
      <c r="E524" s="6" t="str">
        <f t="shared" si="25"/>
        <v>RGUSHSBT Index</v>
      </c>
      <c r="F524" s="5">
        <f t="shared" si="27"/>
        <v>-1.3435425506323586E-2</v>
      </c>
    </row>
    <row r="525" spans="1:6" x14ac:dyDescent="0.35">
      <c r="A525" s="10">
        <v>45691</v>
      </c>
      <c r="B525" s="9">
        <v>-1.5587225167830525E-2</v>
      </c>
      <c r="D525" s="6" t="str">
        <f t="shared" si="26"/>
        <v>02/03/2025</v>
      </c>
      <c r="E525" s="6" t="str">
        <f t="shared" si="25"/>
        <v>RGUSHSBT Index</v>
      </c>
      <c r="F525" s="5">
        <f t="shared" si="27"/>
        <v>-1.5587225167830525E-2</v>
      </c>
    </row>
    <row r="526" spans="1:6" x14ac:dyDescent="0.35">
      <c r="A526" s="8">
        <v>45692</v>
      </c>
      <c r="B526" s="7">
        <v>2.1217447213299784E-2</v>
      </c>
      <c r="D526" s="6" t="str">
        <f t="shared" si="26"/>
        <v>02/04/2025</v>
      </c>
      <c r="E526" s="6" t="str">
        <f t="shared" si="25"/>
        <v>RGUSHSBT Index</v>
      </c>
      <c r="F526" s="5">
        <f t="shared" si="27"/>
        <v>2.1217447213299784E-2</v>
      </c>
    </row>
    <row r="527" spans="1:6" x14ac:dyDescent="0.35">
      <c r="A527" s="10">
        <v>45693</v>
      </c>
      <c r="B527" s="9">
        <v>2.7449290544986224E-2</v>
      </c>
      <c r="D527" s="6" t="str">
        <f t="shared" si="26"/>
        <v>02/05/2025</v>
      </c>
      <c r="E527" s="6" t="str">
        <f t="shared" si="25"/>
        <v>RGUSHSBT Index</v>
      </c>
      <c r="F527" s="5">
        <f t="shared" si="27"/>
        <v>2.7449290544986224E-2</v>
      </c>
    </row>
    <row r="528" spans="1:6" x14ac:dyDescent="0.35">
      <c r="A528" s="8">
        <v>45694</v>
      </c>
      <c r="B528" s="7">
        <v>-1.8232547860438132E-2</v>
      </c>
      <c r="D528" s="6" t="str">
        <f t="shared" si="26"/>
        <v>02/06/2025</v>
      </c>
      <c r="E528" s="6" t="str">
        <f t="shared" si="25"/>
        <v>RGUSHSBT Index</v>
      </c>
      <c r="F528" s="5">
        <f t="shared" si="27"/>
        <v>-1.8232547860438132E-2</v>
      </c>
    </row>
    <row r="529" spans="1:6" x14ac:dyDescent="0.35">
      <c r="A529" s="10">
        <v>45695</v>
      </c>
      <c r="B529" s="9">
        <v>-2.3160215793660704E-2</v>
      </c>
      <c r="D529" s="6" t="str">
        <f t="shared" si="26"/>
        <v>02/07/2025</v>
      </c>
      <c r="E529" s="6" t="str">
        <f t="shared" si="25"/>
        <v>RGUSHSBT Index</v>
      </c>
      <c r="F529" s="5">
        <f t="shared" si="27"/>
        <v>-2.3160215793660704E-2</v>
      </c>
    </row>
    <row r="530" spans="1:6" x14ac:dyDescent="0.35">
      <c r="A530" s="8"/>
      <c r="B530" s="7"/>
      <c r="D530" s="6" t="str">
        <f t="shared" si="26"/>
        <v/>
      </c>
      <c r="E530" s="6" t="str">
        <f t="shared" si="25"/>
        <v/>
      </c>
      <c r="F530" s="5" t="str">
        <f t="shared" si="27"/>
        <v/>
      </c>
    </row>
    <row r="531" spans="1:6" x14ac:dyDescent="0.35">
      <c r="A531" s="10"/>
      <c r="B531" s="9"/>
      <c r="D531" s="6" t="str">
        <f t="shared" si="26"/>
        <v/>
      </c>
      <c r="E531" s="6" t="str">
        <f t="shared" si="25"/>
        <v/>
      </c>
      <c r="F531" s="5" t="str">
        <f t="shared" si="27"/>
        <v/>
      </c>
    </row>
    <row r="532" spans="1:6" x14ac:dyDescent="0.35">
      <c r="A532" s="8"/>
      <c r="B532" s="7"/>
      <c r="D532" s="6" t="str">
        <f t="shared" si="26"/>
        <v/>
      </c>
      <c r="E532" s="6" t="str">
        <f t="shared" si="25"/>
        <v/>
      </c>
      <c r="F532" s="5" t="str">
        <f t="shared" si="27"/>
        <v/>
      </c>
    </row>
    <row r="533" spans="1:6" x14ac:dyDescent="0.35">
      <c r="A533" s="10"/>
      <c r="B533" s="9"/>
      <c r="D533" s="6" t="str">
        <f t="shared" si="26"/>
        <v/>
      </c>
      <c r="E533" s="6" t="str">
        <f t="shared" si="25"/>
        <v/>
      </c>
      <c r="F533" s="5" t="str">
        <f t="shared" si="27"/>
        <v/>
      </c>
    </row>
    <row r="534" spans="1:6" x14ac:dyDescent="0.35">
      <c r="A534" s="8"/>
      <c r="B534" s="7"/>
      <c r="D534" s="6" t="str">
        <f t="shared" si="26"/>
        <v/>
      </c>
      <c r="E534" s="6" t="str">
        <f t="shared" si="25"/>
        <v/>
      </c>
      <c r="F534" s="5" t="str">
        <f t="shared" si="27"/>
        <v/>
      </c>
    </row>
    <row r="535" spans="1:6" x14ac:dyDescent="0.35">
      <c r="A535" s="10"/>
      <c r="B535" s="9"/>
      <c r="D535" s="6" t="str">
        <f t="shared" si="26"/>
        <v/>
      </c>
      <c r="E535" s="6" t="str">
        <f t="shared" si="25"/>
        <v/>
      </c>
      <c r="F535" s="5" t="str">
        <f t="shared" si="27"/>
        <v/>
      </c>
    </row>
    <row r="536" spans="1:6" x14ac:dyDescent="0.35">
      <c r="A536" s="8"/>
      <c r="B536" s="7"/>
      <c r="D536" s="6" t="str">
        <f t="shared" si="26"/>
        <v/>
      </c>
      <c r="E536" s="6" t="str">
        <f t="shared" si="25"/>
        <v/>
      </c>
      <c r="F536" s="5" t="str">
        <f t="shared" si="27"/>
        <v/>
      </c>
    </row>
    <row r="537" spans="1:6" x14ac:dyDescent="0.35">
      <c r="A537" s="10"/>
      <c r="B537" s="9"/>
      <c r="D537" s="6" t="str">
        <f t="shared" si="26"/>
        <v/>
      </c>
      <c r="E537" s="6" t="str">
        <f t="shared" si="25"/>
        <v/>
      </c>
      <c r="F537" s="5" t="str">
        <f t="shared" si="27"/>
        <v/>
      </c>
    </row>
    <row r="538" spans="1:6" x14ac:dyDescent="0.35">
      <c r="A538" s="8"/>
      <c r="B538" s="7"/>
      <c r="D538" s="6" t="str">
        <f t="shared" si="26"/>
        <v/>
      </c>
      <c r="E538" s="6" t="str">
        <f t="shared" si="25"/>
        <v/>
      </c>
      <c r="F538" s="5" t="str">
        <f t="shared" si="27"/>
        <v/>
      </c>
    </row>
    <row r="539" spans="1:6" x14ac:dyDescent="0.35">
      <c r="A539" s="10"/>
      <c r="B539" s="9"/>
      <c r="D539" s="6" t="str">
        <f t="shared" si="26"/>
        <v/>
      </c>
      <c r="E539" s="6" t="str">
        <f t="shared" si="25"/>
        <v/>
      </c>
      <c r="F539" s="5" t="str">
        <f t="shared" si="27"/>
        <v/>
      </c>
    </row>
    <row r="540" spans="1:6" x14ac:dyDescent="0.35">
      <c r="A540" s="8"/>
      <c r="B540" s="7"/>
      <c r="D540" s="6" t="str">
        <f t="shared" si="26"/>
        <v/>
      </c>
      <c r="E540" s="6" t="str">
        <f t="shared" si="25"/>
        <v/>
      </c>
      <c r="F540" s="5" t="str">
        <f t="shared" si="27"/>
        <v/>
      </c>
    </row>
    <row r="541" spans="1:6" x14ac:dyDescent="0.35">
      <c r="A541" s="10"/>
      <c r="B541" s="9"/>
      <c r="D541" s="6" t="str">
        <f t="shared" si="26"/>
        <v/>
      </c>
      <c r="E541" s="6" t="str">
        <f t="shared" si="25"/>
        <v/>
      </c>
      <c r="F541" s="5" t="str">
        <f t="shared" si="27"/>
        <v/>
      </c>
    </row>
    <row r="542" spans="1:6" x14ac:dyDescent="0.35">
      <c r="A542" s="8"/>
      <c r="B542" s="7"/>
      <c r="D542" s="6" t="str">
        <f t="shared" si="26"/>
        <v/>
      </c>
      <c r="E542" s="6" t="str">
        <f t="shared" si="25"/>
        <v/>
      </c>
      <c r="F542" s="5" t="str">
        <f t="shared" si="27"/>
        <v/>
      </c>
    </row>
    <row r="543" spans="1:6" x14ac:dyDescent="0.35">
      <c r="A543" s="10"/>
      <c r="B543" s="9"/>
      <c r="D543" s="6" t="str">
        <f t="shared" si="26"/>
        <v/>
      </c>
      <c r="E543" s="6" t="str">
        <f t="shared" si="25"/>
        <v/>
      </c>
      <c r="F543" s="5" t="str">
        <f t="shared" si="27"/>
        <v/>
      </c>
    </row>
    <row r="544" spans="1:6" x14ac:dyDescent="0.35">
      <c r="A544" s="8"/>
      <c r="B544" s="7"/>
      <c r="D544" s="6" t="str">
        <f t="shared" si="26"/>
        <v/>
      </c>
      <c r="E544" s="6" t="str">
        <f t="shared" si="25"/>
        <v/>
      </c>
      <c r="F544" s="5" t="str">
        <f t="shared" si="27"/>
        <v/>
      </c>
    </row>
    <row r="545" spans="1:6" x14ac:dyDescent="0.35">
      <c r="A545" s="10"/>
      <c r="B545" s="9"/>
      <c r="D545" s="6" t="str">
        <f t="shared" si="26"/>
        <v/>
      </c>
      <c r="E545" s="6" t="str">
        <f t="shared" si="25"/>
        <v/>
      </c>
      <c r="F545" s="5" t="str">
        <f t="shared" si="27"/>
        <v/>
      </c>
    </row>
    <row r="546" spans="1:6" x14ac:dyDescent="0.35">
      <c r="A546" s="8"/>
      <c r="B546" s="7"/>
      <c r="D546" s="6" t="str">
        <f t="shared" si="26"/>
        <v/>
      </c>
      <c r="E546" s="6" t="str">
        <f t="shared" si="25"/>
        <v/>
      </c>
      <c r="F546" s="5" t="str">
        <f t="shared" si="27"/>
        <v/>
      </c>
    </row>
    <row r="547" spans="1:6" x14ac:dyDescent="0.35">
      <c r="A547" s="10"/>
      <c r="B547" s="9"/>
      <c r="D547" s="6" t="str">
        <f t="shared" si="26"/>
        <v/>
      </c>
      <c r="E547" s="6" t="str">
        <f t="shared" si="25"/>
        <v/>
      </c>
      <c r="F547" s="5" t="str">
        <f t="shared" si="27"/>
        <v/>
      </c>
    </row>
    <row r="548" spans="1:6" x14ac:dyDescent="0.35">
      <c r="A548" s="8"/>
      <c r="B548" s="7"/>
      <c r="D548" s="6" t="str">
        <f t="shared" si="26"/>
        <v/>
      </c>
      <c r="E548" s="6" t="str">
        <f t="shared" si="25"/>
        <v/>
      </c>
      <c r="F548" s="5" t="str">
        <f t="shared" si="27"/>
        <v/>
      </c>
    </row>
    <row r="549" spans="1:6" x14ac:dyDescent="0.35">
      <c r="A549" s="10"/>
      <c r="B549" s="9"/>
      <c r="D549" s="6" t="str">
        <f t="shared" si="26"/>
        <v/>
      </c>
      <c r="E549" s="6" t="str">
        <f t="shared" si="25"/>
        <v/>
      </c>
      <c r="F549" s="5" t="str">
        <f t="shared" si="27"/>
        <v/>
      </c>
    </row>
    <row r="550" spans="1:6" x14ac:dyDescent="0.35">
      <c r="A550" s="8"/>
      <c r="B550" s="7"/>
      <c r="D550" s="6" t="str">
        <f t="shared" si="26"/>
        <v/>
      </c>
      <c r="E550" s="6" t="str">
        <f t="shared" si="25"/>
        <v/>
      </c>
      <c r="F550" s="5" t="str">
        <f t="shared" si="27"/>
        <v/>
      </c>
    </row>
    <row r="551" spans="1:6" x14ac:dyDescent="0.35">
      <c r="A551" s="10"/>
      <c r="B551" s="9"/>
      <c r="D551" s="6" t="str">
        <f t="shared" si="26"/>
        <v/>
      </c>
      <c r="E551" s="6" t="str">
        <f t="shared" si="25"/>
        <v/>
      </c>
      <c r="F551" s="5" t="str">
        <f t="shared" si="27"/>
        <v/>
      </c>
    </row>
    <row r="552" spans="1:6" x14ac:dyDescent="0.35">
      <c r="A552" s="8"/>
      <c r="B552" s="7"/>
      <c r="D552" s="6" t="str">
        <f t="shared" si="26"/>
        <v/>
      </c>
      <c r="E552" s="6" t="str">
        <f t="shared" si="25"/>
        <v/>
      </c>
      <c r="F552" s="5" t="str">
        <f t="shared" si="27"/>
        <v/>
      </c>
    </row>
    <row r="553" spans="1:6" x14ac:dyDescent="0.35">
      <c r="A553" s="10"/>
      <c r="B553" s="9"/>
      <c r="D553" s="6" t="str">
        <f t="shared" si="26"/>
        <v/>
      </c>
      <c r="E553" s="6" t="str">
        <f t="shared" si="25"/>
        <v/>
      </c>
      <c r="F553" s="5" t="str">
        <f t="shared" si="27"/>
        <v/>
      </c>
    </row>
    <row r="554" spans="1:6" x14ac:dyDescent="0.35">
      <c r="A554" s="8"/>
      <c r="B554" s="7"/>
      <c r="D554" s="6" t="str">
        <f t="shared" si="26"/>
        <v/>
      </c>
      <c r="E554" s="6" t="str">
        <f t="shared" si="25"/>
        <v/>
      </c>
      <c r="F554" s="5" t="str">
        <f t="shared" si="27"/>
        <v/>
      </c>
    </row>
    <row r="555" spans="1:6" x14ac:dyDescent="0.35">
      <c r="A555" s="10"/>
      <c r="B555" s="9"/>
      <c r="D555" s="6" t="str">
        <f t="shared" si="26"/>
        <v/>
      </c>
      <c r="E555" s="6" t="str">
        <f t="shared" si="25"/>
        <v/>
      </c>
      <c r="F555" s="5" t="str">
        <f t="shared" si="27"/>
        <v/>
      </c>
    </row>
    <row r="556" spans="1:6" x14ac:dyDescent="0.35">
      <c r="A556" s="8"/>
      <c r="B556" s="7"/>
      <c r="D556" s="6" t="str">
        <f t="shared" si="26"/>
        <v/>
      </c>
      <c r="E556" s="6" t="str">
        <f t="shared" si="25"/>
        <v/>
      </c>
      <c r="F556" s="5" t="str">
        <f t="shared" si="27"/>
        <v/>
      </c>
    </row>
    <row r="557" spans="1:6" x14ac:dyDescent="0.35">
      <c r="A557" s="10"/>
      <c r="B557" s="9"/>
      <c r="D557" s="6" t="str">
        <f t="shared" si="26"/>
        <v/>
      </c>
      <c r="E557" s="6" t="str">
        <f t="shared" si="25"/>
        <v/>
      </c>
      <c r="F557" s="5" t="str">
        <f t="shared" si="27"/>
        <v/>
      </c>
    </row>
    <row r="558" spans="1:6" x14ac:dyDescent="0.35">
      <c r="A558" s="8"/>
      <c r="B558" s="7"/>
      <c r="D558" s="6" t="str">
        <f t="shared" si="26"/>
        <v/>
      </c>
      <c r="E558" s="6" t="str">
        <f t="shared" si="25"/>
        <v/>
      </c>
      <c r="F558" s="5" t="str">
        <f t="shared" si="27"/>
        <v/>
      </c>
    </row>
    <row r="559" spans="1:6" x14ac:dyDescent="0.35">
      <c r="A559" s="10"/>
      <c r="B559" s="9"/>
      <c r="D559" s="6" t="str">
        <f t="shared" si="26"/>
        <v/>
      </c>
      <c r="E559" s="6" t="str">
        <f t="shared" si="25"/>
        <v/>
      </c>
      <c r="F559" s="5" t="str">
        <f t="shared" si="27"/>
        <v/>
      </c>
    </row>
    <row r="560" spans="1:6" x14ac:dyDescent="0.35">
      <c r="A560" s="8"/>
      <c r="B560" s="7"/>
      <c r="D560" s="6" t="str">
        <f t="shared" si="26"/>
        <v/>
      </c>
      <c r="E560" s="6" t="str">
        <f t="shared" si="25"/>
        <v/>
      </c>
      <c r="F560" s="5" t="str">
        <f t="shared" si="27"/>
        <v/>
      </c>
    </row>
    <row r="561" spans="1:6" x14ac:dyDescent="0.35">
      <c r="A561" s="10"/>
      <c r="B561" s="9"/>
      <c r="D561" s="6" t="str">
        <f t="shared" si="26"/>
        <v/>
      </c>
      <c r="E561" s="6" t="str">
        <f t="shared" si="25"/>
        <v/>
      </c>
      <c r="F561" s="5" t="str">
        <f t="shared" si="27"/>
        <v/>
      </c>
    </row>
    <row r="562" spans="1:6" x14ac:dyDescent="0.35">
      <c r="A562" s="8"/>
      <c r="B562" s="7"/>
      <c r="D562" s="6" t="str">
        <f t="shared" si="26"/>
        <v/>
      </c>
      <c r="E562" s="6" t="str">
        <f t="shared" si="25"/>
        <v/>
      </c>
      <c r="F562" s="5" t="str">
        <f t="shared" si="27"/>
        <v/>
      </c>
    </row>
    <row r="563" spans="1:6" x14ac:dyDescent="0.35">
      <c r="A563" s="10"/>
      <c r="B563" s="9"/>
      <c r="D563" s="6" t="str">
        <f t="shared" si="26"/>
        <v/>
      </c>
      <c r="E563" s="6" t="str">
        <f t="shared" si="25"/>
        <v/>
      </c>
      <c r="F563" s="5" t="str">
        <f t="shared" si="27"/>
        <v/>
      </c>
    </row>
    <row r="564" spans="1:6" x14ac:dyDescent="0.35">
      <c r="A564" s="8"/>
      <c r="B564" s="7"/>
      <c r="D564" s="6" t="str">
        <f t="shared" si="26"/>
        <v/>
      </c>
      <c r="E564" s="6" t="str">
        <f t="shared" si="25"/>
        <v/>
      </c>
      <c r="F564" s="5" t="str">
        <f t="shared" si="27"/>
        <v/>
      </c>
    </row>
    <row r="565" spans="1:6" x14ac:dyDescent="0.35">
      <c r="A565" s="10"/>
      <c r="B565" s="9"/>
      <c r="D565" s="6" t="str">
        <f t="shared" si="26"/>
        <v/>
      </c>
      <c r="E565" s="6" t="str">
        <f t="shared" si="25"/>
        <v/>
      </c>
      <c r="F565" s="5" t="str">
        <f t="shared" si="27"/>
        <v/>
      </c>
    </row>
    <row r="566" spans="1:6" x14ac:dyDescent="0.35">
      <c r="A566" s="8"/>
      <c r="B566" s="7"/>
      <c r="D566" s="6" t="str">
        <f t="shared" si="26"/>
        <v/>
      </c>
      <c r="E566" s="6" t="str">
        <f t="shared" si="25"/>
        <v/>
      </c>
      <c r="F566" s="5" t="str">
        <f t="shared" si="27"/>
        <v/>
      </c>
    </row>
    <row r="567" spans="1:6" x14ac:dyDescent="0.35">
      <c r="A567" s="10"/>
      <c r="B567" s="9"/>
      <c r="D567" s="6" t="str">
        <f t="shared" si="26"/>
        <v/>
      </c>
      <c r="E567" s="6" t="str">
        <f t="shared" si="25"/>
        <v/>
      </c>
      <c r="F567" s="5" t="str">
        <f t="shared" si="27"/>
        <v/>
      </c>
    </row>
    <row r="568" spans="1:6" x14ac:dyDescent="0.35">
      <c r="A568" s="8"/>
      <c r="B568" s="7"/>
      <c r="D568" s="6" t="str">
        <f t="shared" si="26"/>
        <v/>
      </c>
      <c r="E568" s="6" t="str">
        <f t="shared" si="25"/>
        <v/>
      </c>
      <c r="F568" s="5" t="str">
        <f t="shared" si="27"/>
        <v/>
      </c>
    </row>
    <row r="569" spans="1:6" x14ac:dyDescent="0.35">
      <c r="A569" s="10"/>
      <c r="B569" s="9"/>
      <c r="D569" s="6" t="str">
        <f t="shared" si="26"/>
        <v/>
      </c>
      <c r="E569" s="6" t="str">
        <f t="shared" si="25"/>
        <v/>
      </c>
      <c r="F569" s="5" t="str">
        <f t="shared" si="27"/>
        <v/>
      </c>
    </row>
    <row r="570" spans="1:6" x14ac:dyDescent="0.35">
      <c r="A570" s="8"/>
      <c r="B570" s="7"/>
      <c r="D570" s="6" t="str">
        <f t="shared" si="26"/>
        <v/>
      </c>
      <c r="E570" s="6" t="str">
        <f t="shared" si="25"/>
        <v/>
      </c>
      <c r="F570" s="5" t="str">
        <f t="shared" si="27"/>
        <v/>
      </c>
    </row>
    <row r="571" spans="1:6" x14ac:dyDescent="0.35">
      <c r="A571" s="10"/>
      <c r="B571" s="9"/>
      <c r="D571" s="6" t="str">
        <f t="shared" si="26"/>
        <v/>
      </c>
      <c r="E571" s="6" t="str">
        <f t="shared" si="25"/>
        <v/>
      </c>
      <c r="F571" s="5" t="str">
        <f t="shared" si="27"/>
        <v/>
      </c>
    </row>
    <row r="572" spans="1:6" x14ac:dyDescent="0.35">
      <c r="A572" s="8"/>
      <c r="B572" s="7"/>
      <c r="D572" s="6" t="str">
        <f t="shared" si="26"/>
        <v/>
      </c>
      <c r="E572" s="6" t="str">
        <f t="shared" si="25"/>
        <v/>
      </c>
      <c r="F572" s="5" t="str">
        <f t="shared" si="27"/>
        <v/>
      </c>
    </row>
    <row r="573" spans="1:6" x14ac:dyDescent="0.35">
      <c r="A573" s="10"/>
      <c r="B573" s="9"/>
      <c r="D573" s="6" t="str">
        <f t="shared" si="26"/>
        <v/>
      </c>
      <c r="E573" s="6" t="str">
        <f t="shared" si="25"/>
        <v/>
      </c>
      <c r="F573" s="5" t="str">
        <f t="shared" si="27"/>
        <v/>
      </c>
    </row>
    <row r="574" spans="1:6" x14ac:dyDescent="0.35">
      <c r="A574" s="8"/>
      <c r="B574" s="7"/>
      <c r="D574" s="6" t="str">
        <f t="shared" si="26"/>
        <v/>
      </c>
      <c r="E574" s="6" t="str">
        <f t="shared" si="25"/>
        <v/>
      </c>
      <c r="F574" s="5" t="str">
        <f t="shared" si="27"/>
        <v/>
      </c>
    </row>
    <row r="575" spans="1:6" x14ac:dyDescent="0.35">
      <c r="A575" s="10"/>
      <c r="B575" s="9"/>
      <c r="D575" s="6" t="str">
        <f t="shared" si="26"/>
        <v/>
      </c>
      <c r="E575" s="6" t="str">
        <f t="shared" ref="E575:E600" si="28">IF(A575="", "", EntityLocal)</f>
        <v/>
      </c>
      <c r="F575" s="5" t="str">
        <f t="shared" si="27"/>
        <v/>
      </c>
    </row>
    <row r="576" spans="1:6" x14ac:dyDescent="0.35">
      <c r="A576" s="8"/>
      <c r="B576" s="7"/>
      <c r="D576" s="6" t="str">
        <f t="shared" si="26"/>
        <v/>
      </c>
      <c r="E576" s="6" t="str">
        <f t="shared" si="28"/>
        <v/>
      </c>
      <c r="F576" s="5" t="str">
        <f t="shared" si="27"/>
        <v/>
      </c>
    </row>
    <row r="577" spans="1:6" x14ac:dyDescent="0.35">
      <c r="A577" s="10"/>
      <c r="B577" s="9"/>
      <c r="D577" s="6" t="str">
        <f t="shared" si="26"/>
        <v/>
      </c>
      <c r="E577" s="6" t="str">
        <f t="shared" si="28"/>
        <v/>
      </c>
      <c r="F577" s="5" t="str">
        <f t="shared" si="27"/>
        <v/>
      </c>
    </row>
    <row r="578" spans="1:6" x14ac:dyDescent="0.35">
      <c r="A578" s="8"/>
      <c r="B578" s="7"/>
      <c r="D578" s="6" t="str">
        <f t="shared" si="26"/>
        <v/>
      </c>
      <c r="E578" s="6" t="str">
        <f t="shared" si="28"/>
        <v/>
      </c>
      <c r="F578" s="5" t="str">
        <f t="shared" si="27"/>
        <v/>
      </c>
    </row>
    <row r="579" spans="1:6" x14ac:dyDescent="0.35">
      <c r="A579" s="10"/>
      <c r="B579" s="9"/>
      <c r="D579" s="6" t="str">
        <f t="shared" ref="D579:D600" si="29">IF(A579 =  "", "",  TEXT(A579, "mm/dd/yyyy"))</f>
        <v/>
      </c>
      <c r="E579" s="6" t="str">
        <f t="shared" si="28"/>
        <v/>
      </c>
      <c r="F579" s="5" t="str">
        <f t="shared" ref="F579:F600" si="30">IF(B579="","", B579)</f>
        <v/>
      </c>
    </row>
    <row r="580" spans="1:6" x14ac:dyDescent="0.35">
      <c r="A580" s="8"/>
      <c r="B580" s="7"/>
      <c r="D580" s="6" t="str">
        <f t="shared" si="29"/>
        <v/>
      </c>
      <c r="E580" s="6" t="str">
        <f t="shared" si="28"/>
        <v/>
      </c>
      <c r="F580" s="5" t="str">
        <f t="shared" si="30"/>
        <v/>
      </c>
    </row>
    <row r="581" spans="1:6" x14ac:dyDescent="0.35">
      <c r="A581" s="10"/>
      <c r="B581" s="9"/>
      <c r="D581" s="6" t="str">
        <f t="shared" si="29"/>
        <v/>
      </c>
      <c r="E581" s="6" t="str">
        <f t="shared" si="28"/>
        <v/>
      </c>
      <c r="F581" s="5" t="str">
        <f t="shared" si="30"/>
        <v/>
      </c>
    </row>
    <row r="582" spans="1:6" x14ac:dyDescent="0.35">
      <c r="A582" s="8"/>
      <c r="B582" s="7"/>
      <c r="D582" s="6" t="str">
        <f t="shared" si="29"/>
        <v/>
      </c>
      <c r="E582" s="6" t="str">
        <f t="shared" si="28"/>
        <v/>
      </c>
      <c r="F582" s="5" t="str">
        <f t="shared" si="30"/>
        <v/>
      </c>
    </row>
    <row r="583" spans="1:6" x14ac:dyDescent="0.35">
      <c r="A583" s="10"/>
      <c r="B583" s="9"/>
      <c r="D583" s="6" t="str">
        <f t="shared" si="29"/>
        <v/>
      </c>
      <c r="E583" s="6" t="str">
        <f t="shared" si="28"/>
        <v/>
      </c>
      <c r="F583" s="5" t="str">
        <f t="shared" si="30"/>
        <v/>
      </c>
    </row>
    <row r="584" spans="1:6" x14ac:dyDescent="0.35">
      <c r="A584" s="8"/>
      <c r="B584" s="7"/>
      <c r="D584" s="6" t="str">
        <f t="shared" si="29"/>
        <v/>
      </c>
      <c r="E584" s="6" t="str">
        <f t="shared" si="28"/>
        <v/>
      </c>
      <c r="F584" s="5" t="str">
        <f t="shared" si="30"/>
        <v/>
      </c>
    </row>
    <row r="585" spans="1:6" x14ac:dyDescent="0.35">
      <c r="A585" s="10"/>
      <c r="B585" s="9"/>
      <c r="D585" s="6" t="str">
        <f t="shared" si="29"/>
        <v/>
      </c>
      <c r="E585" s="6" t="str">
        <f t="shared" si="28"/>
        <v/>
      </c>
      <c r="F585" s="5" t="str">
        <f t="shared" si="30"/>
        <v/>
      </c>
    </row>
    <row r="586" spans="1:6" x14ac:dyDescent="0.35">
      <c r="A586" s="8"/>
      <c r="B586" s="7"/>
      <c r="D586" s="6" t="str">
        <f t="shared" si="29"/>
        <v/>
      </c>
      <c r="E586" s="6" t="str">
        <f t="shared" si="28"/>
        <v/>
      </c>
      <c r="F586" s="5" t="str">
        <f t="shared" si="30"/>
        <v/>
      </c>
    </row>
    <row r="587" spans="1:6" x14ac:dyDescent="0.35">
      <c r="A587" s="10"/>
      <c r="B587" s="9"/>
      <c r="D587" s="6" t="str">
        <f t="shared" si="29"/>
        <v/>
      </c>
      <c r="E587" s="6" t="str">
        <f t="shared" si="28"/>
        <v/>
      </c>
      <c r="F587" s="5" t="str">
        <f t="shared" si="30"/>
        <v/>
      </c>
    </row>
    <row r="588" spans="1:6" x14ac:dyDescent="0.35">
      <c r="A588" s="8"/>
      <c r="B588" s="7"/>
      <c r="D588" s="6" t="str">
        <f t="shared" si="29"/>
        <v/>
      </c>
      <c r="E588" s="6" t="str">
        <f t="shared" si="28"/>
        <v/>
      </c>
      <c r="F588" s="5" t="str">
        <f t="shared" si="30"/>
        <v/>
      </c>
    </row>
    <row r="589" spans="1:6" x14ac:dyDescent="0.35">
      <c r="A589" s="10"/>
      <c r="B589" s="9"/>
      <c r="D589" s="6" t="str">
        <f t="shared" si="29"/>
        <v/>
      </c>
      <c r="E589" s="6" t="str">
        <f t="shared" si="28"/>
        <v/>
      </c>
      <c r="F589" s="5" t="str">
        <f t="shared" si="30"/>
        <v/>
      </c>
    </row>
    <row r="590" spans="1:6" x14ac:dyDescent="0.35">
      <c r="A590" s="8"/>
      <c r="B590" s="7"/>
      <c r="D590" s="6" t="str">
        <f t="shared" si="29"/>
        <v/>
      </c>
      <c r="E590" s="6" t="str">
        <f t="shared" si="28"/>
        <v/>
      </c>
      <c r="F590" s="5" t="str">
        <f t="shared" si="30"/>
        <v/>
      </c>
    </row>
    <row r="591" spans="1:6" x14ac:dyDescent="0.35">
      <c r="A591" s="10"/>
      <c r="B591" s="9"/>
      <c r="D591" s="6" t="str">
        <f t="shared" si="29"/>
        <v/>
      </c>
      <c r="E591" s="6" t="str">
        <f t="shared" si="28"/>
        <v/>
      </c>
      <c r="F591" s="5" t="str">
        <f t="shared" si="30"/>
        <v/>
      </c>
    </row>
    <row r="592" spans="1:6" x14ac:dyDescent="0.35">
      <c r="A592" s="8"/>
      <c r="B592" s="7"/>
      <c r="D592" s="6" t="str">
        <f t="shared" si="29"/>
        <v/>
      </c>
      <c r="E592" s="6" t="str">
        <f t="shared" si="28"/>
        <v/>
      </c>
      <c r="F592" s="5" t="str">
        <f t="shared" si="30"/>
        <v/>
      </c>
    </row>
    <row r="593" spans="1:6" x14ac:dyDescent="0.35">
      <c r="A593" s="10"/>
      <c r="B593" s="9"/>
      <c r="D593" s="6" t="str">
        <f t="shared" si="29"/>
        <v/>
      </c>
      <c r="E593" s="6" t="str">
        <f t="shared" si="28"/>
        <v/>
      </c>
      <c r="F593" s="5" t="str">
        <f t="shared" si="30"/>
        <v/>
      </c>
    </row>
    <row r="594" spans="1:6" x14ac:dyDescent="0.35">
      <c r="A594" s="8"/>
      <c r="B594" s="7"/>
      <c r="D594" s="6" t="str">
        <f t="shared" si="29"/>
        <v/>
      </c>
      <c r="E594" s="6" t="str">
        <f t="shared" si="28"/>
        <v/>
      </c>
      <c r="F594" s="5" t="str">
        <f t="shared" si="30"/>
        <v/>
      </c>
    </row>
    <row r="595" spans="1:6" x14ac:dyDescent="0.35">
      <c r="A595" s="10"/>
      <c r="B595" s="9"/>
      <c r="D595" s="6" t="str">
        <f t="shared" si="29"/>
        <v/>
      </c>
      <c r="E595" s="6" t="str">
        <f t="shared" si="28"/>
        <v/>
      </c>
      <c r="F595" s="5" t="str">
        <f t="shared" si="30"/>
        <v/>
      </c>
    </row>
    <row r="596" spans="1:6" x14ac:dyDescent="0.35">
      <c r="A596" s="8"/>
      <c r="B596" s="7"/>
      <c r="D596" s="6" t="str">
        <f t="shared" si="29"/>
        <v/>
      </c>
      <c r="E596" s="6" t="str">
        <f t="shared" si="28"/>
        <v/>
      </c>
      <c r="F596" s="5" t="str">
        <f t="shared" si="30"/>
        <v/>
      </c>
    </row>
    <row r="597" spans="1:6" x14ac:dyDescent="0.35">
      <c r="A597" s="10"/>
      <c r="B597" s="9"/>
      <c r="D597" s="6" t="str">
        <f t="shared" si="29"/>
        <v/>
      </c>
      <c r="E597" s="6" t="str">
        <f t="shared" si="28"/>
        <v/>
      </c>
      <c r="F597" s="5" t="str">
        <f t="shared" si="30"/>
        <v/>
      </c>
    </row>
    <row r="598" spans="1:6" x14ac:dyDescent="0.35">
      <c r="A598" s="8"/>
      <c r="B598" s="7"/>
      <c r="D598" s="6" t="str">
        <f t="shared" si="29"/>
        <v/>
      </c>
      <c r="E598" s="6" t="str">
        <f t="shared" si="28"/>
        <v/>
      </c>
      <c r="F598" s="5" t="str">
        <f t="shared" si="30"/>
        <v/>
      </c>
    </row>
    <row r="599" spans="1:6" x14ac:dyDescent="0.35">
      <c r="A599" s="10"/>
      <c r="B599" s="9"/>
      <c r="D599" s="6" t="str">
        <f t="shared" si="29"/>
        <v/>
      </c>
      <c r="E599" s="6" t="str">
        <f t="shared" si="28"/>
        <v/>
      </c>
      <c r="F599" s="5" t="str">
        <f t="shared" si="30"/>
        <v/>
      </c>
    </row>
    <row r="600" spans="1:6" x14ac:dyDescent="0.35">
      <c r="A600" s="8"/>
      <c r="B600" s="7"/>
      <c r="D600" s="6" t="str">
        <f t="shared" si="29"/>
        <v/>
      </c>
      <c r="E600" s="6" t="str">
        <f t="shared" si="28"/>
        <v/>
      </c>
      <c r="F600" s="5" t="str">
        <f t="shared" si="30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1FC941D-038C-4DA9-8B62-74D141BDB91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A8C093A-9D59-4D70-96B9-C1868CC6B1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CDDC47-44A5-46AB-8AFA-F8B0879753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SPXT Index</vt:lpstr>
      <vt:lpstr>NBI Index</vt:lpstr>
      <vt:lpstr>HFRXEMN Index</vt:lpstr>
      <vt:lpstr>XBI US Equity</vt:lpstr>
      <vt:lpstr>MSA1BIO Index</vt:lpstr>
      <vt:lpstr>MSA1BIOH Index</vt:lpstr>
      <vt:lpstr>IWM US Index</vt:lpstr>
      <vt:lpstr>RGUSHSBT Index</vt:lpstr>
      <vt:lpstr>'HFRXEMN Index'!DropSpot</vt:lpstr>
      <vt:lpstr>'IWM US Index'!DropSpot</vt:lpstr>
      <vt:lpstr>'MSA1BIO Index'!DropSpot</vt:lpstr>
      <vt:lpstr>'MSA1BIOH Index'!DropSpot</vt:lpstr>
      <vt:lpstr>'NBI Index'!DropSpot</vt:lpstr>
      <vt:lpstr>'RGUSHSBT Index'!DropSpot</vt:lpstr>
      <vt:lpstr>'SPXT Index'!DropSpot</vt:lpstr>
      <vt:lpstr>'XBI US Equity'!DropSpot</vt:lpstr>
      <vt:lpstr>'HFRXEMN Index'!EntityLocal</vt:lpstr>
      <vt:lpstr>'IWM US Index'!EntityLocal</vt:lpstr>
      <vt:lpstr>'MSA1BIO Index'!EntityLocal</vt:lpstr>
      <vt:lpstr>'MSA1BIOH Index'!EntityLocal</vt:lpstr>
      <vt:lpstr>'NBI Index'!EntityLocal</vt:lpstr>
      <vt:lpstr>'RGUSHSBT Index'!EntityLocal</vt:lpstr>
      <vt:lpstr>'SPXT Index'!EntityLocal</vt:lpstr>
      <vt:lpstr>'XBI US Equity'!EntityLocal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2024-01-26T19:58:30Z</dcterms:created>
  <dcterms:modified xsi:type="dcterms:W3CDTF">2025-02-07T20:35:12Z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2024-01-26T19:58:46Z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aeee68d4-99a6-4841-a6e7-91dd30a2eeb7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