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ostery.sharepoint.com/sites/Trading/Shared Documents/Operations/Liquidity Analysis/"/>
    </mc:Choice>
  </mc:AlternateContent>
  <xr:revisionPtr revIDLastSave="53072" documentId="8_{C888DD01-6D05-45D7-97BF-1F234501C5A9}" xr6:coauthVersionLast="47" xr6:coauthVersionMax="47" xr10:uidLastSave="{EA90D432-FE0F-43D7-84C2-E17E58D59363}"/>
  <bookViews>
    <workbookView xWindow="5830" yWindow="310" windowWidth="29820" windowHeight="19860" xr2:uid="{3DC9ACE3-18B1-497C-A748-3AD2071ADC9A}"/>
  </bookViews>
  <sheets>
    <sheet name="Shares" sheetId="1" r:id="rId1"/>
    <sheet name="Exposure" sheetId="2" r:id="rId2"/>
  </sheets>
  <functionGroups builtInGroupCount="19"/>
  <definedNames>
    <definedName name="AsOfDate" localSheetId="1">Exposure!$B$3</definedName>
    <definedName name="AsOfDate" localSheetId="0">Shares!$B$3</definedName>
    <definedName name="CalcMap" localSheetId="1">Exposure!$G$5:$R$68</definedName>
    <definedName name="CalcMap" localSheetId="0">Shares!$G$5:$R$68</definedName>
    <definedName name="DailyVolCol" localSheetId="1">Exposure!$E$4</definedName>
    <definedName name="DailyVolCol" localSheetId="0">Shares!$E$4</definedName>
    <definedName name="DropSpot" localSheetId="1">Exposure!$B$5</definedName>
    <definedName name="DropSpot" localSheetId="0">Shares!$B$5</definedName>
    <definedName name="PctDailyVol" localSheetId="1">Exposure!$C$3</definedName>
    <definedName name="PctDailyVol" localSheetId="0">Shares!$C$3</definedName>
    <definedName name="ShareCol" localSheetId="1">Exposure!$F$4</definedName>
    <definedName name="ShareCol" localSheetId="0">Shares!$F$4</definedName>
    <definedName name="TickerCol" localSheetId="1">Exposure!$B$4</definedName>
    <definedName name="TickerCol" localSheetId="0">Shares!$B$4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1" i="1" l="1" a="1"/>
  <c r="D51" i="1"/>
  <c r="D15" i="1" a="1"/>
  <c r="D15" i="1"/>
  <c r="D14" i="1" a="1"/>
  <c r="D14" i="1"/>
  <c r="D35" i="1" a="1"/>
  <c r="D35" i="1"/>
  <c r="D34" i="1" a="1"/>
  <c r="D34" i="1"/>
  <c r="D20" i="1" a="1"/>
  <c r="D20" i="1"/>
  <c r="D18" i="1" a="1"/>
  <c r="D18" i="1"/>
  <c r="D38" i="1" a="1"/>
  <c r="D38" i="1"/>
  <c r="D30" i="1" a="1"/>
  <c r="D30" i="1"/>
  <c r="D56" i="1" a="1"/>
  <c r="D56" i="1"/>
  <c r="D39" i="1" a="1"/>
  <c r="D39" i="1"/>
  <c r="D31" i="1" a="1"/>
  <c r="D31" i="1"/>
  <c r="D23" i="1" a="1"/>
  <c r="D23" i="1"/>
  <c r="D55" i="1" a="1"/>
  <c r="D55" i="1"/>
  <c r="D44" i="1" a="1"/>
  <c r="D44" i="1"/>
  <c r="D33" i="1" a="1"/>
  <c r="D33" i="1"/>
  <c r="D26" i="1" a="1"/>
  <c r="D26" i="1"/>
  <c r="D32" i="1" a="1"/>
  <c r="D32" i="1"/>
  <c r="D37" i="1" a="1"/>
  <c r="D37" i="1"/>
  <c r="D29" i="1" a="1"/>
  <c r="D29" i="1"/>
  <c r="D6" i="1" a="1"/>
  <c r="D6" i="1"/>
  <c r="D48" i="1" a="1"/>
  <c r="D48" i="1"/>
  <c r="D22" i="1" a="1"/>
  <c r="D22" i="1"/>
  <c r="D19" i="1" a="1"/>
  <c r="D19" i="1"/>
  <c r="C52" i="1" a="1"/>
  <c r="C52" i="1"/>
  <c r="C12" i="1" a="1"/>
  <c r="C12" i="1"/>
  <c r="C23" i="1" a="1"/>
  <c r="C23" i="1"/>
  <c r="C20" i="1" a="1"/>
  <c r="C20" i="1"/>
  <c r="C39" i="1" a="1"/>
  <c r="C39" i="1"/>
  <c r="C31" i="1" a="1"/>
  <c r="C31" i="1"/>
  <c r="C53" i="1" a="1"/>
  <c r="C53" i="1"/>
  <c r="C18" i="1" a="1"/>
  <c r="C18" i="1"/>
  <c r="C34" i="1" a="1"/>
  <c r="C34" i="1"/>
  <c r="C27" i="1" a="1"/>
  <c r="C27" i="1"/>
  <c r="C13" i="1" a="1"/>
  <c r="C13" i="1"/>
  <c r="C35" i="1" a="1"/>
  <c r="C35" i="1"/>
  <c r="C33" i="1" a="1"/>
  <c r="C33" i="1"/>
  <c r="D41" i="1" a="1"/>
  <c r="D41" i="1"/>
  <c r="D5" i="1" a="1"/>
  <c r="D5" i="1"/>
  <c r="D42" i="1" a="1"/>
  <c r="D42" i="1"/>
  <c r="D40" i="1" a="1"/>
  <c r="D40" i="1"/>
  <c r="D9" i="1" a="1"/>
  <c r="D9" i="1"/>
  <c r="D8" i="1" a="1"/>
  <c r="D8" i="1"/>
  <c r="D52" i="1" a="1"/>
  <c r="D52" i="1"/>
  <c r="D45" i="1" a="1"/>
  <c r="D45" i="1"/>
  <c r="D60" i="1" a="1"/>
  <c r="D60" i="1"/>
  <c r="D50" i="1" a="1"/>
  <c r="D50" i="1"/>
  <c r="D25" i="1" a="1"/>
  <c r="D25" i="1"/>
  <c r="D11" i="1" a="1"/>
  <c r="D11" i="1"/>
  <c r="D47" i="1" a="1"/>
  <c r="D47" i="1"/>
  <c r="D54" i="1" a="1"/>
  <c r="D54" i="1"/>
  <c r="D43" i="1" a="1"/>
  <c r="D43" i="1"/>
  <c r="D7" i="1" a="1"/>
  <c r="D7" i="1"/>
  <c r="D59" i="1" a="1"/>
  <c r="D59" i="1"/>
  <c r="D49" i="1" a="1"/>
  <c r="D49" i="1"/>
  <c r="C26" i="1" a="1"/>
  <c r="C26" i="1"/>
  <c r="C11" i="1" a="1"/>
  <c r="C11" i="1"/>
  <c r="C9" i="1" a="1"/>
  <c r="C9" i="1"/>
  <c r="C8" i="1" a="1"/>
  <c r="C8" i="1"/>
  <c r="C60" i="1" a="1"/>
  <c r="C60" i="1"/>
  <c r="C50" i="1" a="1"/>
  <c r="C50" i="1"/>
  <c r="C7" i="1" a="1"/>
  <c r="C7" i="1"/>
  <c r="C54" i="1" a="1"/>
  <c r="C54" i="1"/>
  <c r="C51" i="1" a="1"/>
  <c r="C51" i="1"/>
  <c r="C55" i="1" a="1"/>
  <c r="C55" i="1"/>
  <c r="C32" i="1" a="1"/>
  <c r="C32" i="1"/>
  <c r="C15" i="1" a="1"/>
  <c r="C15" i="1"/>
  <c r="C14" i="1" a="1"/>
  <c r="C14" i="1"/>
  <c r="C30" i="1" a="1"/>
  <c r="C30" i="1"/>
  <c r="C24" i="1" a="1"/>
  <c r="C24" i="1"/>
  <c r="C37" i="1" a="1"/>
  <c r="C37" i="1"/>
  <c r="C29" i="1" a="1"/>
  <c r="C29" i="1"/>
  <c r="C46" i="1" a="1"/>
  <c r="C46" i="1"/>
  <c r="C22" i="1" a="1"/>
  <c r="C22" i="1"/>
  <c r="C42" i="1" a="1"/>
  <c r="C42" i="1"/>
  <c r="C10" i="1" a="1"/>
  <c r="C10" i="1"/>
  <c r="C45" i="1" a="1"/>
  <c r="C45" i="1"/>
  <c r="C44" i="1" a="1"/>
  <c r="C44" i="1"/>
  <c r="C21" i="1" a="1"/>
  <c r="C21" i="1"/>
  <c r="C43" i="1" a="1"/>
  <c r="C43" i="1"/>
  <c r="C36" i="1" a="1"/>
  <c r="C36" i="1"/>
  <c r="C64" i="1" a="1"/>
  <c r="C64" i="1"/>
  <c r="C57" i="1" a="1"/>
  <c r="C57" i="1"/>
  <c r="C59" i="1" a="1"/>
  <c r="C59" i="1"/>
  <c r="C49" i="1" a="1"/>
  <c r="C49" i="1"/>
  <c r="C5" i="1" a="1"/>
  <c r="C5" i="1"/>
  <c r="C16" i="1" a="1"/>
  <c r="C16" i="1"/>
  <c r="C17" i="1" a="1"/>
  <c r="C17" i="1"/>
  <c r="C56" i="1" a="1"/>
  <c r="C56" i="1"/>
  <c r="C25" i="1" a="1"/>
  <c r="C25" i="1"/>
  <c r="C48" i="1" a="1"/>
  <c r="C48" i="1"/>
  <c r="D64" i="1" a="1"/>
  <c r="D64" i="1"/>
  <c r="D57" i="1" a="1"/>
  <c r="D57" i="1"/>
  <c r="D24" i="1" a="1"/>
  <c r="D24" i="1"/>
  <c r="D13" i="1" a="1"/>
  <c r="D13" i="1"/>
  <c r="D46" i="1" a="1"/>
  <c r="D46" i="1"/>
  <c r="D27" i="1" a="1"/>
  <c r="D27" i="1"/>
  <c r="D10" i="1" a="1"/>
  <c r="D10" i="1"/>
  <c r="D17" i="1" a="1"/>
  <c r="D17" i="1"/>
  <c r="C40" i="1" a="1"/>
  <c r="C40" i="1"/>
  <c r="C38" i="1" a="1"/>
  <c r="C38" i="1"/>
  <c r="C28" i="1" a="1"/>
  <c r="C28" i="1"/>
  <c r="C47" i="1" a="1"/>
  <c r="C47" i="1"/>
  <c r="C6" i="1" a="1"/>
  <c r="C6" i="1"/>
  <c r="C41" i="1" a="1"/>
  <c r="C41" i="1"/>
  <c r="C19" i="1" a="1"/>
  <c r="C19" i="1"/>
  <c r="D16" i="1" a="1"/>
  <c r="D16" i="1"/>
  <c r="D53" i="1" a="1"/>
  <c r="D53" i="1"/>
  <c r="D21" i="1" a="1"/>
  <c r="D21" i="1"/>
  <c r="D36" i="1" a="1"/>
  <c r="D36" i="1"/>
  <c r="D28" i="1" a="1"/>
  <c r="D28" i="1"/>
  <c r="D12" i="1" a="1"/>
  <c r="D12" i="1"/>
  <c r="D68" i="1" a="1"/>
  <c r="D68" i="1"/>
  <c r="C68" i="1" a="1"/>
  <c r="C68" i="1"/>
  <c r="C63" i="1" a="1"/>
  <c r="C63" i="1"/>
  <c r="C58" i="1" a="1"/>
  <c r="C58" i="1"/>
  <c r="C62" i="1" a="1"/>
  <c r="C62" i="1"/>
  <c r="D63" i="1" a="1"/>
  <c r="D63" i="1"/>
  <c r="C61" i="1" a="1"/>
  <c r="C61" i="1"/>
  <c r="D62" i="1" a="1"/>
  <c r="D62" i="1"/>
  <c r="D58" i="1" a="1"/>
  <c r="D58" i="1"/>
  <c r="D61" i="1" a="1"/>
  <c r="D61" i="1"/>
  <c r="C67" i="1" a="1"/>
  <c r="C66" i="1" a="1"/>
  <c r="C65" i="1" a="1"/>
  <c r="C65" i="1" l="1"/>
  <c r="C66" i="1"/>
  <c r="C67" i="1"/>
  <c r="D65" i="1" a="1"/>
  <c r="D67" i="1" a="1"/>
  <c r="D66" i="1" a="1"/>
  <c r="D66" i="1" l="1"/>
  <c r="D67" i="1"/>
  <c r="D65" i="1"/>
  <c r="B3" i="2" l="1"/>
  <c r="R2" i="2" a="1"/>
  <c r="R2" i="2" s="1"/>
  <c r="Q2" i="2" a="1"/>
  <c r="Q2" i="2" s="1"/>
  <c r="P2" i="2" a="1"/>
  <c r="P2" i="2" s="1"/>
  <c r="O2" i="2" a="1"/>
  <c r="O2" i="2" s="1"/>
  <c r="N2" i="2" a="1"/>
  <c r="N2" i="2" s="1"/>
  <c r="M2" i="2" a="1"/>
  <c r="M2" i="2" s="1"/>
  <c r="L2" i="2" a="1"/>
  <c r="L2" i="2" s="1"/>
  <c r="K2" i="2" a="1"/>
  <c r="K2" i="2" s="1"/>
  <c r="J2" i="2" a="1"/>
  <c r="J2" i="2" s="1"/>
  <c r="I2" i="2" a="1"/>
  <c r="I2" i="2" s="1"/>
  <c r="H2" i="2" a="1"/>
  <c r="H2" i="2" s="1"/>
  <c r="G2" i="2" a="1"/>
  <c r="G2" i="2" s="1"/>
  <c r="F2" i="2" a="1"/>
  <c r="F2" i="2" s="1"/>
  <c r="F3" i="2" s="1"/>
  <c r="O1" i="2"/>
  <c r="L3" i="2" l="1"/>
  <c r="M3" i="2"/>
  <c r="N3" i="2"/>
  <c r="O3" i="2"/>
  <c r="Q3" i="2"/>
  <c r="P3" i="2"/>
  <c r="R3" i="2"/>
  <c r="G3" i="2"/>
  <c r="H3" i="2"/>
  <c r="I3" i="2"/>
  <c r="J3" i="2"/>
  <c r="K3" i="2"/>
  <c r="E68" i="1" l="1"/>
  <c r="E67" i="1" l="1"/>
  <c r="E66" i="1" l="1"/>
  <c r="E65" i="1" l="1"/>
  <c r="E64" i="1" l="1"/>
  <c r="E63" i="1" l="1"/>
  <c r="E62" i="1" l="1"/>
  <c r="E61" i="1" l="1"/>
  <c r="E60" i="1" l="1"/>
  <c r="E59" i="1" l="1"/>
  <c r="E58" i="1" l="1"/>
  <c r="E57" i="1" l="1"/>
  <c r="E56" i="1" l="1"/>
  <c r="E55" i="1" l="1"/>
  <c r="E54" i="1" l="1"/>
  <c r="E53" i="1" l="1"/>
  <c r="E52" i="1" l="1"/>
  <c r="E51" i="1" l="1"/>
  <c r="E50" i="1" l="1"/>
  <c r="E49" i="1" l="1"/>
  <c r="E48" i="1" l="1"/>
  <c r="E47" i="1" l="1"/>
  <c r="E46" i="1" l="1"/>
  <c r="E45" i="1" l="1"/>
  <c r="E44" i="1" l="1"/>
  <c r="E43" i="1" l="1"/>
  <c r="E42" i="1" l="1"/>
  <c r="E41" i="1" l="1"/>
  <c r="E40" i="1" l="1"/>
  <c r="E39" i="1" l="1"/>
  <c r="E38" i="1" l="1"/>
  <c r="E37" i="1" l="1"/>
  <c r="E36" i="1" l="1"/>
  <c r="E35" i="1" l="1"/>
  <c r="E34" i="1" l="1"/>
  <c r="E33" i="1" l="1"/>
  <c r="E32" i="1" l="1"/>
  <c r="E31" i="1" l="1"/>
  <c r="E30" i="1" l="1"/>
  <c r="E29" i="1" l="1"/>
  <c r="E28" i="1" l="1"/>
  <c r="E27" i="1" l="1"/>
  <c r="E26" i="1" l="1"/>
  <c r="E25" i="1" l="1"/>
  <c r="E24" i="1" l="1"/>
  <c r="E23" i="1" l="1"/>
  <c r="E22" i="1" l="1"/>
  <c r="E21" i="1" l="1"/>
  <c r="E20" i="1" l="1"/>
  <c r="E19" i="1" l="1"/>
  <c r="E18" i="1" l="1"/>
  <c r="E17" i="1" l="1"/>
  <c r="E16" i="1" l="1"/>
  <c r="E15" i="1" l="1"/>
  <c r="E14" i="1" l="1"/>
  <c r="E13" i="1" l="1"/>
  <c r="E12" i="1" l="1"/>
  <c r="E11" i="1" l="1"/>
  <c r="E10" i="1" l="1"/>
  <c r="E9" i="1" l="1"/>
  <c r="E8" i="1" l="1"/>
  <c r="E7" i="1" l="1"/>
  <c r="E6" i="1" l="1"/>
  <c r="E5" i="1" l="1"/>
  <c r="R2" i="1" a="1"/>
  <c r="R2" i="1" s="1"/>
  <c r="Q2" i="1" a="1"/>
  <c r="Q2" i="1" s="1"/>
  <c r="P2" i="1" a="1"/>
  <c r="P2" i="1" s="1"/>
  <c r="O2" i="1" a="1"/>
  <c r="O2" i="1" s="1"/>
  <c r="N2" i="1" a="1"/>
  <c r="N2" i="1" s="1"/>
  <c r="M2" i="1" a="1"/>
  <c r="M2" i="1" s="1"/>
  <c r="L2" i="1" a="1"/>
  <c r="L2" i="1" s="1"/>
  <c r="K2" i="1" a="1"/>
  <c r="K2" i="1" s="1"/>
  <c r="J2" i="1" a="1"/>
  <c r="J2" i="1" s="1"/>
  <c r="I2" i="1" a="1"/>
  <c r="I2" i="1" s="1"/>
  <c r="H2" i="1" a="1"/>
  <c r="H2" i="1" s="1"/>
  <c r="G2" i="1" a="1"/>
  <c r="G2" i="1" s="1"/>
  <c r="F2" i="1" a="1"/>
  <c r="F2" i="1" s="1"/>
  <c r="F3" i="1" s="1"/>
  <c r="G3" i="1" l="1"/>
  <c r="H3" i="1"/>
  <c r="I3" i="1"/>
  <c r="J3" i="1"/>
  <c r="K3" i="1"/>
  <c r="L3" i="1"/>
  <c r="M3" i="1"/>
  <c r="N3" i="1"/>
  <c r="O3" i="1"/>
  <c r="P3" i="1"/>
  <c r="Q3" i="1"/>
  <c r="R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 Kafafian</author>
  </authors>
  <commentList>
    <comment ref="C3" authorId="0" shapeId="0" xr:uid="{96B0960C-0C5E-4E67-88CA-68BC5FE4B27C}">
      <text>
        <r>
          <rPr>
            <b/>
            <sz val="9"/>
            <color indexed="81"/>
            <rFont val="Tahoma"/>
            <family val="2"/>
          </rPr>
          <t>Lee Kafafian:</t>
        </r>
        <r>
          <rPr>
            <sz val="9"/>
            <color indexed="81"/>
            <rFont val="Tahoma"/>
            <family val="2"/>
          </rPr>
          <t xml:space="preserve">
Update value, macro will run liquidity schedule
cursor always returns to this cell after macro completes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<sst xmlns="http://schemas.openxmlformats.org/spreadsheetml/2006/main" count="141" uniqueCount="72">
  <si>
    <t>APGE US Equity</t>
  </si>
  <si>
    <t>ELEV US Equity</t>
  </si>
  <si>
    <t>EOLS US Equity</t>
  </si>
  <si>
    <t>GOSS US Equity</t>
  </si>
  <si>
    <t>KALV US Equity</t>
  </si>
  <si>
    <t>ZURA US Equity</t>
  </si>
  <si>
    <t>VOLUME_AVG_30D</t>
  </si>
  <si>
    <t>PX_VOLUME</t>
  </si>
  <si>
    <t>% Daily Volume</t>
  </si>
  <si>
    <t>1 Day</t>
  </si>
  <si>
    <t>2 Day</t>
  </si>
  <si>
    <t>3 Day</t>
  </si>
  <si>
    <t>4 Day</t>
  </si>
  <si>
    <t>5 Day</t>
  </si>
  <si>
    <t>10 Day</t>
  </si>
  <si>
    <t>15 Day</t>
  </si>
  <si>
    <t>Position</t>
  </si>
  <si>
    <t>1 Month</t>
  </si>
  <si>
    <t>3 Months</t>
  </si>
  <si>
    <t>2 Months</t>
  </si>
  <si>
    <t>6 Months</t>
  </si>
  <si>
    <t>&gt; 6 Months</t>
  </si>
  <si>
    <t>Total Shares</t>
  </si>
  <si>
    <t>% of Total Shares</t>
  </si>
  <si>
    <t>Portfolio Names</t>
  </si>
  <si>
    <t>ABVX US Equity</t>
  </si>
  <si>
    <t>CNTA US Equity</t>
  </si>
  <si>
    <t>CYTK US Equity</t>
  </si>
  <si>
    <t>DNTH US Equity</t>
  </si>
  <si>
    <t>JSPR US Equity</t>
  </si>
  <si>
    <t>KROS US Equity</t>
  </si>
  <si>
    <t>RLYB US Equity</t>
  </si>
  <si>
    <t>TCRX US Equity</t>
  </si>
  <si>
    <t>VRDN US Equity</t>
  </si>
  <si>
    <t>XENE US Equity</t>
  </si>
  <si>
    <t>Delta MV</t>
  </si>
  <si>
    <t>Gross Exposure</t>
  </si>
  <si>
    <t>% of Gross Exposure</t>
  </si>
  <si>
    <t>CRNX US Equity</t>
  </si>
  <si>
    <t>MRUS US Equity</t>
  </si>
  <si>
    <t>AVTX US Equity</t>
  </si>
  <si>
    <t>PHGE US Equity</t>
  </si>
  <si>
    <t>CNTX US Equity</t>
  </si>
  <si>
    <t>INZY US Equity</t>
  </si>
  <si>
    <t>LBPH US Equity</t>
  </si>
  <si>
    <t>LYRA US Equity</t>
  </si>
  <si>
    <t>CATX US Equity</t>
  </si>
  <si>
    <t>FOLD US Equity</t>
  </si>
  <si>
    <t>APLS US Equity</t>
  </si>
  <si>
    <t>VERA US Equity</t>
  </si>
  <si>
    <t>MNMD US Equity</t>
  </si>
  <si>
    <t>ALKS US Equity</t>
  </si>
  <si>
    <t>ACLX US Equity</t>
  </si>
  <si>
    <t>4503 JP Equity</t>
  </si>
  <si>
    <t>OLMA US Equity</t>
  </si>
  <si>
    <t>OTLK US Equity</t>
  </si>
  <si>
    <t>PMN US Equity</t>
  </si>
  <si>
    <t>QTTB US Equity</t>
  </si>
  <si>
    <t>BPMC US Equity</t>
  </si>
  <si>
    <t>CLDX US Equity</t>
  </si>
  <si>
    <t>CORT US Equity</t>
  </si>
  <si>
    <t>TWST US Equity</t>
  </si>
  <si>
    <t>CLYM US Equity</t>
  </si>
  <si>
    <t>INSM US Equity</t>
  </si>
  <si>
    <t>JANX US Equity</t>
  </si>
  <si>
    <t>SLRN US Equity</t>
  </si>
  <si>
    <t>ORKA US Equity</t>
  </si>
  <si>
    <t>CAPR US Equity</t>
  </si>
  <si>
    <t>TIL US Equity</t>
  </si>
  <si>
    <t>SMMT US Equity</t>
  </si>
  <si>
    <t>IMVT US Equity</t>
  </si>
  <si>
    <t>RCKT US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</si>
</sst>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\ %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9">
    <xf numFmtId="0" fontId="0" fillId="0" borderId="0" xfId="0"/>
    <xf numFmtId="3" fontId="0" fillId="0" borderId="0" xfId="0" applyNumberFormat="1"/>
    <xf numFmtId="0" fontId="5" fillId="0" borderId="0" xfId="0" applyFont="1"/>
    <xf numFmtId="10" fontId="1" fillId="3" borderId="1" xfId="0" applyNumberFormat="1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3" fontId="1" fillId="0" borderId="1" xfId="0" applyNumberFormat="1" applyFont="1" applyBorder="1"/>
    <xf numFmtId="0" fontId="2" fillId="4" borderId="1" xfId="0" applyFont="1" applyFill="1" applyBorder="1" applyAlignment="1">
      <alignment horizontal="center"/>
    </xf>
    <xf numFmtId="3" fontId="2" fillId="4" borderId="1" xfId="0" applyNumberFormat="1" applyFont="1" applyFill="1" applyBorder="1" applyAlignment="1">
      <alignment horizontal="center"/>
    </xf>
    <xf numFmtId="3" fontId="1" fillId="0" borderId="0" xfId="0" applyNumberFormat="1" applyFont="1" applyAlignment="1">
      <alignment horizontal="right" indent="1"/>
    </xf>
    <xf numFmtId="164" fontId="0" fillId="0" borderId="1" xfId="0" applyNumberFormat="1" applyBorder="1"/>
    <xf numFmtId="0" fontId="2" fillId="4" borderId="1" xfId="0" applyFont="1" applyFill="1" applyBorder="1" applyAlignment="1">
      <alignment horizontal="left" indent="1"/>
    </xf>
    <xf numFmtId="0" fontId="7" fillId="0" borderId="1" xfId="0" applyFont="1" applyBorder="1" applyAlignment="1">
      <alignment horizontal="left" indent="1"/>
    </xf>
    <xf numFmtId="3" fontId="0" fillId="0" borderId="2" xfId="0" applyNumberFormat="1" applyBorder="1"/>
    <xf numFmtId="3" fontId="0" fillId="0" borderId="3" xfId="0" applyNumberFormat="1" applyBorder="1"/>
    <xf numFmtId="0" fontId="7" fillId="2" borderId="1" xfId="0" applyFont="1" applyFill="1" applyBorder="1" applyAlignment="1">
      <alignment horizontal="left" indent="1"/>
    </xf>
    <xf numFmtId="3" fontId="0" fillId="2" borderId="2" xfId="0" applyNumberFormat="1" applyFill="1" applyBorder="1"/>
    <xf numFmtId="3" fontId="0" fillId="2" borderId="3" xfId="0" applyNumberFormat="1" applyFill="1" applyBorder="1"/>
    <xf numFmtId="165" fontId="5" fillId="0" borderId="0" xfId="1" applyNumberFormat="1" applyFont="1"/>
  </cellXfs>
  <cellStyles count="2">
    <cellStyle name="Comma" xfId="1" builtinId="3"/>
    <cellStyle name="Normal" xfId="0" builtinId="0"/>
  </cellStyles>
  <dxfs count="8">
    <dxf>
      <fill>
        <patternFill>
          <bgColor theme="9" tint="0.79998168889431442"/>
        </patternFill>
      </fill>
    </dxf>
    <dxf>
      <fill>
        <patternFill>
          <bgColor rgb="FFFFC2BD"/>
        </patternFill>
      </fill>
    </dxf>
    <dxf>
      <fill>
        <patternFill>
          <bgColor theme="9" tint="0.79998168889431442"/>
        </patternFill>
      </fill>
    </dxf>
    <dxf>
      <fill>
        <patternFill>
          <bgColor rgb="FFFFC2BD"/>
        </patternFill>
      </fill>
    </dxf>
    <dxf>
      <fill>
        <patternFill>
          <bgColor theme="9" tint="0.79998168889431442"/>
        </patternFill>
      </fill>
    </dxf>
    <dxf>
      <fill>
        <patternFill>
          <bgColor rgb="FFFFC2BD"/>
        </patternFill>
      </fill>
    </dxf>
    <dxf>
      <fill>
        <patternFill>
          <bgColor theme="9" tint="0.79998168889431442"/>
        </patternFill>
      </fill>
    </dxf>
    <dxf>
      <fill>
        <patternFill>
          <bgColor rgb="FFFFC2BD"/>
        </patternFill>
      </fill>
    </dxf>
  </dxfs>
  <tableStyles count="0" defaultTableStyle="TableStyleMedium2" defaultPivotStyle="PivotStyleLight16"/>
  <colors>
    <mruColors>
      <color rgb="FFFFC2BD"/>
      <color rgb="FFFE7E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BDP|12149520495936213296</stp>
        <tr r="C38" s="1"/>
        <tr r="C38" s="1"/>
      </tp>
      <tp t="s">
        <v>#N/A N/A</v>
        <stp/>
        <stp>BDP|10148910998468655292</stp>
        <tr r="C41" s="1"/>
        <tr r="C41" s="1"/>
      </tp>
      <tp t="s">
        <v>#N/A N/A</v>
        <stp/>
        <stp>BDH|14416928712190886797</stp>
        <tr r="D60" s="1"/>
        <tr r="D64" s="1"/>
        <tr r="D59" s="1"/>
        <tr r="D68" s="1"/>
        <tr r="D61" s="1"/>
        <tr r="D58" s="1"/>
        <tr r="D62" s="1"/>
        <tr r="D63" s="1"/>
        <tr r="D66" s="1"/>
        <tr r="D67" s="1"/>
        <tr r="D65" s="1"/>
      </tp>
      <tp t="s">
        <v>#N/A N/A</v>
        <stp/>
        <stp>BDH|15282775698902206255</stp>
        <tr r="D44" s="1"/>
        <tr r="D44" s="1"/>
      </tp>
      <tp t="s">
        <v>#N/A N/A</v>
        <stp/>
        <stp>BDH|14224894852916785433</stp>
        <tr r="D6" s="1"/>
        <tr r="D6" s="1"/>
      </tp>
      <tp t="s">
        <v>#N/A N/A</v>
        <stp/>
        <stp>BDP|15281176094713385633</stp>
        <tr r="C17" s="1"/>
        <tr r="C17" s="1"/>
      </tp>
      <tp t="s">
        <v>#N/A N/A</v>
        <stp/>
        <stp>BDH|17960879744996672599</stp>
        <tr r="D52" s="1"/>
        <tr r="D52" s="1"/>
      </tp>
      <tp t="s">
        <v>#N/A N/A</v>
        <stp/>
        <stp>BDH|10927833105899146977</stp>
        <tr r="D47" s="1"/>
        <tr r="D47" s="1"/>
      </tp>
      <tp t="s">
        <v>#N/A N/A</v>
        <stp/>
        <stp>BDH|13447914171082656780</stp>
        <tr r="D19" s="1"/>
        <tr r="D19" s="1"/>
      </tp>
      <tp t="s">
        <v>#N/A N/A</v>
        <stp/>
        <stp>BDH|15586961413457023321</stp>
        <tr r="D17" s="1"/>
        <tr r="D17" s="1"/>
      </tp>
      <tp t="s">
        <v>#N/A N/A</v>
        <stp/>
        <stp>BDH|14375712440276192891</stp>
        <tr r="D32" s="1"/>
        <tr r="D32" s="1"/>
      </tp>
      <tp t="s">
        <v>#N/A N/A</v>
        <stp/>
        <stp>BDH|15712856443318792895</stp>
        <tr r="D10" s="1"/>
        <tr r="D10" s="1"/>
      </tp>
      <tp t="s">
        <v>#N/A N/A</v>
        <stp/>
        <stp>BDH|13355375163509877612</stp>
        <tr r="D25" s="1"/>
        <tr r="D25" s="1"/>
      </tp>
      <tp t="s">
        <v>#N/A N/A</v>
        <stp/>
        <stp>BDP|15896496292263087578</stp>
        <tr r="C16" s="1"/>
        <tr r="C16" s="1"/>
      </tp>
      <tp t="s">
        <v>#N/A N/A</v>
        <stp/>
        <stp>BDH|13260781490251502289</stp>
        <tr r="D11" s="1"/>
        <tr r="D11" s="1"/>
      </tp>
      <tp t="s">
        <v>#N/A N/A</v>
        <stp/>
        <stp>BDH|17809536991786948398</stp>
        <tr r="D57" s="1"/>
        <tr r="D57" s="1"/>
      </tp>
      <tp t="s">
        <v>#N/A N/A</v>
        <stp/>
        <stp>BDP|17626295954399065668</stp>
        <tr r="C57" s="1"/>
        <tr r="C57" s="1"/>
      </tp>
      <tp t="s">
        <v>#N/A N/A</v>
        <stp/>
        <stp>BDP|10216786101830264868</stp>
        <tr r="C59" s="1"/>
        <tr r="C64" s="1"/>
        <tr r="C60" s="1"/>
        <tr r="C68" s="1"/>
        <tr r="C61" s="1"/>
        <tr r="C62" s="1"/>
        <tr r="C58" s="1"/>
        <tr r="C63" s="1"/>
        <tr r="C65" s="1"/>
        <tr r="C66" s="1"/>
        <tr r="C67" s="1"/>
      </tp>
      <tp t="s">
        <v>#N/A N/A</v>
        <stp/>
        <stp>BDP|14428010322330202941</stp>
        <tr r="C25" s="1"/>
        <tr r="C25" s="1"/>
      </tp>
      <tp t="s">
        <v>#N/A N/A</v>
        <stp/>
        <stp>BDP|16314505688756462139</stp>
        <tr r="C5" s="1"/>
        <tr r="C5" s="1"/>
      </tp>
      <tp t="s">
        <v>#N/A N/A</v>
        <stp/>
        <stp>BDH|17878456065320008916</stp>
        <tr r="D12" s="1"/>
        <tr r="D12" s="1"/>
      </tp>
      <tp t="s">
        <v>#N/A N/A</v>
        <stp/>
        <stp>BDP|18264927660268363204</stp>
        <tr r="C36" s="1"/>
        <tr r="C36" s="1"/>
      </tp>
      <tp t="s">
        <v>#N/A N/A</v>
        <stp/>
        <stp>BDH|16317660293261371547</stp>
        <tr r="D27" s="1"/>
        <tr r="D27" s="1"/>
      </tp>
      <tp t="s">
        <v>#N/A N/A</v>
        <stp/>
        <stp>BDH|17787599107462227249</stp>
        <tr r="D24" s="1"/>
        <tr r="D24" s="1"/>
      </tp>
      <tp t="s">
        <v>#N/A N/A</v>
        <stp/>
        <stp>BDP|11087664436553332453</stp>
        <tr r="C47" s="1"/>
        <tr r="C47" s="1"/>
      </tp>
      <tp t="s">
        <v>#N/A N/A</v>
        <stp/>
        <stp>BDH|17648678054761597652</stp>
        <tr r="D13" s="1"/>
        <tr r="D13" s="1"/>
      </tp>
      <tp t="s">
        <v>#N/A N/A</v>
        <stp/>
        <stp>BDH|13736106197478546029</stp>
        <tr r="D38" s="1"/>
        <tr r="D38" s="1"/>
      </tp>
      <tp t="s">
        <v>#N/A N/A</v>
        <stp/>
        <stp>BDH|10568329401671180194</stp>
        <tr r="D43" s="1"/>
        <tr r="D43" s="1"/>
      </tp>
      <tp t="s">
        <v>#N/A N/A</v>
        <stp/>
        <stp>BDP|11071625211031621695</stp>
        <tr r="C6" s="1"/>
        <tr r="C6" s="1"/>
      </tp>
      <tp t="s">
        <v>#N/A N/A</v>
        <stp/>
        <stp>BDH|14227859000075566831</stp>
        <tr r="D29" s="1"/>
        <tr r="D29" s="1"/>
      </tp>
      <tp t="s">
        <v>#N/A N/A</v>
        <stp/>
        <stp>BDP|11890563445903447524</stp>
        <tr r="C30" s="1"/>
        <tr r="C30" s="1"/>
      </tp>
      <tp t="s">
        <v>#N/A N/A</v>
        <stp/>
        <stp>BDP|11378462831107786728</stp>
        <tr r="C23" s="1"/>
        <tr r="C23" s="1"/>
      </tp>
      <tp t="s">
        <v>#N/A N/A</v>
        <stp/>
        <stp>BDP|10865316093429955536</stp>
        <tr r="C19" s="1"/>
        <tr r="C19" s="1"/>
      </tp>
      <tp t="s">
        <v>#N/A N/A</v>
        <stp/>
        <stp>BDH|10728865137354041903</stp>
        <tr r="D39" s="1"/>
        <tr r="D39" s="1"/>
      </tp>
      <tp t="s">
        <v>#N/A N/A</v>
        <stp/>
        <stp>BDH|13925438106911715028</stp>
        <tr r="D48" s="1"/>
        <tr r="D48" s="1"/>
      </tp>
      <tp t="s">
        <v>#N/A N/A</v>
        <stp/>
        <stp>BDH|16653611214712473592</stp>
        <tr r="D55" s="1"/>
        <tr r="D55" s="1"/>
      </tp>
      <tp t="s">
        <v>#N/A N/A</v>
        <stp/>
        <stp>BDP|14897444747060139399</stp>
        <tr r="C56" s="1"/>
        <tr r="C56" s="1"/>
      </tp>
      <tp t="s">
        <v>#N/A N/A</v>
        <stp/>
        <stp>BDP|14394185048181743704</stp>
        <tr r="C48" s="1"/>
        <tr r="C48" s="1"/>
      </tp>
      <tp t="s">
        <v>#N/A N/A</v>
        <stp/>
        <stp>BDH|17497473959109238874</stp>
        <tr r="D22" s="1"/>
        <tr r="D22" s="1"/>
        <tr r="D46" s="1"/>
        <tr r="D46" s="1"/>
      </tp>
      <tp t="s">
        <v>#N/A N/A</v>
        <stp/>
        <stp>BDP|12350888582381135792</stp>
        <tr r="C40" s="1"/>
        <tr r="C40" s="1"/>
      </tp>
      <tp t="s">
        <v>#N/A N/A</v>
        <stp/>
        <stp>BDP|11791038329475950269</stp>
        <tr r="C28" s="1"/>
        <tr r="C28" s="1"/>
      </tp>
      <tp t="s">
        <v>#N/A N/A</v>
        <stp/>
        <stp>BDH|14897165500492443337</stp>
        <tr r="D26" s="1"/>
        <tr r="D26" s="1"/>
      </tp>
      <tp t="s">
        <v>#N/A N/A</v>
        <stp/>
        <stp>BDP|16684949470824079992</stp>
        <tr r="C15" s="1"/>
        <tr r="C15" s="1"/>
      </tp>
      <tp t="s">
        <v>#N/A N/A</v>
        <stp/>
        <stp>BDP|10592693707857950486</stp>
        <tr r="C37" s="1"/>
        <tr r="C37" s="1"/>
      </tp>
      <tp t="s">
        <v>#N/A N/A</v>
        <stp/>
        <stp>BDP|17372686421025574336</stp>
        <tr r="C49" s="1"/>
        <tr r="C49" s="1"/>
      </tp>
    </main>
    <main first="bofaddin.rtdserver">
      <tp t="s">
        <v>#N/A N/A</v>
        <stp/>
        <stp>BDH|5107037692511817179</stp>
        <tr r="D56" s="1"/>
        <tr r="D56" s="1"/>
      </tp>
      <tp t="s">
        <v>#N/A N/A</v>
        <stp/>
        <stp>BDP|2712624782239217990</stp>
        <tr r="C21" s="1"/>
        <tr r="C21" s="1"/>
      </tp>
      <tp t="s">
        <v>#N/A N/A</v>
        <stp/>
        <stp>BDP|8190608578071897416</stp>
        <tr r="C18" s="1"/>
        <tr r="C18" s="1"/>
      </tp>
      <tp t="s">
        <v>#N/A N/A</v>
        <stp/>
        <stp>BDH|8390604826521379103</stp>
        <tr r="D5" s="1"/>
        <tr r="D5" s="1"/>
      </tp>
      <tp t="s">
        <v>#N/A N/A</v>
        <stp/>
        <stp>BDH|8272992674759766239</stp>
        <tr r="D40" s="1"/>
        <tr r="D40" s="1"/>
      </tp>
      <tp t="s">
        <v>#N/A N/A</v>
        <stp/>
        <stp>BDP|5547146188193086172</stp>
        <tr r="C42" s="1"/>
        <tr r="C42" s="1"/>
      </tp>
      <tp t="s">
        <v>#N/A N/A</v>
        <stp/>
        <stp>BDP|7844545899335130047</stp>
        <tr r="C27" s="1"/>
        <tr r="C27" s="1"/>
      </tp>
      <tp t="s">
        <v>#N/A N/A</v>
        <stp/>
        <stp>BDP|8945930314139862701</stp>
        <tr r="C20" s="1"/>
        <tr r="C20" s="1"/>
      </tp>
      <tp t="s">
        <v>#N/A N/A</v>
        <stp/>
        <stp>BDP|8708802997175880332</stp>
        <tr r="C53" s="1"/>
        <tr r="C53" s="1"/>
      </tp>
      <tp t="s">
        <v>#N/A N/A</v>
        <stp/>
        <stp>BDP|8838190329340558426</stp>
        <tr r="C31" s="1"/>
        <tr r="C31" s="1"/>
      </tp>
      <tp t="s">
        <v>#N/A N/A</v>
        <stp/>
        <stp>BDH|7948323221970065970</stp>
        <tr r="D37" s="1"/>
        <tr r="D37" s="1"/>
      </tp>
      <tp t="s">
        <v>#N/A N/A</v>
        <stp/>
        <stp>BDH|6344837266522001511</stp>
        <tr r="D50" s="1"/>
        <tr r="D50" s="1"/>
      </tp>
      <tp t="s">
        <v>#N/A N/A</v>
        <stp/>
        <stp>BDH|2000521600289474131</stp>
        <tr r="D21" s="1"/>
        <tr r="D21" s="1"/>
      </tp>
      <tp t="s">
        <v>#N/A N/A</v>
        <stp/>
        <stp>BDP|9625562800764890049</stp>
        <tr r="C52" s="1"/>
        <tr r="C52" s="1"/>
      </tp>
      <tp t="s">
        <v>#N/A N/A</v>
        <stp/>
        <stp>BDP|2439548456279179304</stp>
        <tr r="C11" s="1"/>
        <tr r="C11" s="1"/>
      </tp>
      <tp t="s">
        <v>#N/A N/A</v>
        <stp/>
        <stp>BDH|9433633119247855128</stp>
        <tr r="D7" s="1"/>
        <tr r="D7" s="1"/>
      </tp>
      <tp t="s">
        <v>#N/A N/A</v>
        <stp/>
        <stp>BDP|4271826779421027305</stp>
        <tr r="C10" s="1"/>
        <tr r="C10" s="1"/>
      </tp>
      <tp t="s">
        <v>#N/A N/A</v>
        <stp/>
        <stp>BDP|3235987772350722402</stp>
        <tr r="C45" s="1"/>
        <tr r="C45" s="1"/>
      </tp>
      <tp t="s">
        <v>#N/A N/A</v>
        <stp/>
        <stp>BDH|6973727455079115424</stp>
        <tr r="D42" s="1"/>
        <tr r="D42" s="1"/>
      </tp>
      <tp t="s">
        <v>#N/A N/A</v>
        <stp/>
        <stp>BDH|2208482719619594440</stp>
        <tr r="D53" s="1"/>
        <tr r="D53" s="1"/>
      </tp>
      <tp t="s">
        <v>#N/A N/A</v>
        <stp/>
        <stp>BDP|2640493989684494026</stp>
        <tr r="C43" s="1"/>
        <tr r="C43" s="1"/>
      </tp>
      <tp t="s">
        <v>#N/A N/A</v>
        <stp/>
        <stp>BDP|6824122689596638245</stp>
        <tr r="C24" s="1"/>
        <tr r="C24" s="1"/>
      </tp>
      <tp t="s">
        <v>#N/A N/A</v>
        <stp/>
        <stp>BDH|7467276026865802995</stp>
        <tr r="D8" s="1"/>
        <tr r="D8" s="1"/>
        <tr r="D9" s="1"/>
        <tr r="D9" s="1"/>
      </tp>
      <tp t="s">
        <v>#N/A N/A</v>
        <stp/>
        <stp>BDH|8697419889944477411</stp>
        <tr r="D49" s="1"/>
        <tr r="D49" s="1"/>
      </tp>
      <tp t="s">
        <v>#N/A N/A</v>
        <stp/>
        <stp>BDH|9804282381566790199</stp>
        <tr r="D23" s="1"/>
        <tr r="D23" s="1"/>
      </tp>
      <tp t="s">
        <v>#N/A N/A</v>
        <stp/>
        <stp>BDP|3315631434777520521</stp>
        <tr r="C39" s="1"/>
        <tr r="C39" s="1"/>
      </tp>
      <tp t="s">
        <v>#N/A N/A</v>
        <stp/>
        <stp>BDP|2549408413972512121</stp>
        <tr r="C26" s="1"/>
        <tr r="C26" s="1"/>
      </tp>
      <tp t="s">
        <v>#N/A N/A</v>
        <stp/>
        <stp>BDP|6136751300166600283</stp>
        <tr r="C22" s="1"/>
        <tr r="C22" s="1"/>
        <tr r="C46" s="1"/>
        <tr r="C46" s="1"/>
      </tp>
      <tp t="s">
        <v>#N/A N/A</v>
        <stp/>
        <stp>BDP|2888122760486551638</stp>
        <tr r="C44" s="1"/>
        <tr r="C44" s="1"/>
      </tp>
      <tp t="s">
        <v>#N/A N/A</v>
        <stp/>
        <stp>BDH|6260251112464814770</stp>
        <tr r="D51" s="1"/>
        <tr r="D51" s="1"/>
      </tp>
      <tp t="s">
        <v>#N/A N/A</v>
        <stp/>
        <stp>BDP|8995384385562070746</stp>
        <tr r="C12" s="1"/>
        <tr r="C12" s="1"/>
      </tp>
      <tp t="s">
        <v>#N/A N/A</v>
        <stp/>
        <stp>BDH|4045612775066606552</stp>
        <tr r="D31" s="1"/>
        <tr r="D31" s="1"/>
      </tp>
      <tp t="s">
        <v>#N/A N/A</v>
        <stp/>
        <stp>BDP|2239360246170981208</stp>
        <tr r="C7" s="1"/>
        <tr r="C7" s="1"/>
      </tp>
      <tp t="s">
        <v>#N/A N/A</v>
        <stp/>
        <stp>BDH|3838770971603440730</stp>
        <tr r="D20" s="1"/>
        <tr r="D20" s="1"/>
      </tp>
      <tp t="s">
        <v>#N/A N/A</v>
        <stp/>
        <stp>BDH|5508250295729782007</stp>
        <tr r="D18" s="1"/>
        <tr r="D18" s="1"/>
      </tp>
      <tp t="s">
        <v>#N/A N/A</v>
        <stp/>
        <stp>BDP|1896573643420717004</stp>
        <tr r="C50" s="1"/>
        <tr r="C50" s="1"/>
      </tp>
      <tp t="s">
        <v>#N/A N/A</v>
        <stp/>
        <stp>BDP|7777901985066712093</stp>
        <tr r="C13" s="1"/>
        <tr r="C13" s="1"/>
      </tp>
      <tp t="s">
        <v>#N/A N/A</v>
        <stp/>
        <stp>BDH|1876568646672395294</stp>
        <tr r="D54" s="1"/>
        <tr r="D54" s="1"/>
      </tp>
      <tp t="s">
        <v>#N/A N/A</v>
        <stp/>
        <stp>BDH|6236505186339019242</stp>
        <tr r="D14" s="1"/>
        <tr r="D14" s="1"/>
      </tp>
      <tp t="s">
        <v>#N/A N/A</v>
        <stp/>
        <stp>BDH|2404161261001918551</stp>
        <tr r="D16" s="1"/>
        <tr r="D16" s="1"/>
      </tp>
      <tp t="s">
        <v>#N/A N/A</v>
        <stp/>
        <stp>BDP|7757350865782273193</stp>
        <tr r="C35" s="1"/>
        <tr r="C35" s="1"/>
        <tr r="C34" s="1"/>
        <tr r="C34" s="1"/>
      </tp>
      <tp t="s">
        <v>#N/A N/A</v>
        <stp/>
        <stp>BDH|6118793457214417184</stp>
        <tr r="D34" s="1"/>
        <tr r="D34" s="1"/>
        <tr r="D35" s="1"/>
        <tr r="D35" s="1"/>
      </tp>
      <tp t="s">
        <v>#N/A N/A</v>
        <stp/>
        <stp>BDH|6517623878961060790</stp>
        <tr r="D45" s="1"/>
        <tr r="D45" s="1"/>
      </tp>
      <tp t="s">
        <v>#N/A N/A</v>
        <stp/>
        <stp>BDH|8517435300178106529</stp>
        <tr r="D41" s="1"/>
        <tr r="D41" s="1"/>
      </tp>
      <tp t="s">
        <v>#N/A N/A</v>
        <stp/>
        <stp>BDP|6656435255043635689</stp>
        <tr r="C29" s="1"/>
        <tr r="C29" s="1"/>
      </tp>
      <tp t="s">
        <v>#N/A N/A</v>
        <stp/>
        <stp>BDH|5139429331392233254</stp>
        <tr r="D30" s="1"/>
        <tr r="D30" s="1"/>
      </tp>
    </main>
    <main first="bofaddin.rtdserver">
      <tp t="s">
        <v>#N/A N/A</v>
        <stp/>
        <stp>BDP|7081338096107863945</stp>
        <tr r="C33" s="1"/>
        <tr r="C33" s="1"/>
      </tp>
      <tp t="s">
        <v>#N/A N/A</v>
        <stp/>
        <stp>BDP|2326340323942195281</stp>
        <tr r="C8" s="1"/>
        <tr r="C8" s="1"/>
        <tr r="C9" s="1"/>
        <tr r="C9" s="1"/>
      </tp>
    </main>
    <main first="bofaddin.rtdserver">
      <tp t="s">
        <v>#N/A N/A</v>
        <stp/>
        <stp>BDP|587957522998323210</stp>
        <tr r="C51" s="1"/>
        <tr r="C51" s="1"/>
      </tp>
      <tp t="s">
        <v>#N/A N/A</v>
        <stp/>
        <stp>BDP|925841266546174984</stp>
        <tr r="C54" s="1"/>
        <tr r="C54" s="1"/>
      </tp>
      <tp t="s">
        <v>#N/A N/A</v>
        <stp/>
        <stp>BDH|835374110287206522</stp>
        <tr r="D36" s="1"/>
        <tr r="D36" s="1"/>
      </tp>
      <tp t="s">
        <v>#N/A N/A</v>
        <stp/>
        <stp>BDH|304226012410823030</stp>
        <tr r="D28" s="1"/>
        <tr r="D28" s="1"/>
      </tp>
    </main>
    <main first="bofaddin.rtdserver">
      <tp t="s">
        <v>#N/A N/A</v>
        <stp/>
        <stp>BDP|205229106479698692</stp>
        <tr r="C14" s="1"/>
        <tr r="C14" s="1"/>
      </tp>
      <tp t="s">
        <v>#N/A N/A</v>
        <stp/>
        <stp>BDH|592255833379162527</stp>
        <tr r="D15" s="1"/>
        <tr r="D15" s="1"/>
      </tp>
      <tp t="s">
        <v>#N/A N/A</v>
        <stp/>
        <stp>BDP|476347632517557821</stp>
        <tr r="C32" s="1"/>
        <tr r="C32" s="1"/>
      </tp>
    </main>
    <main first="bofaddin.rtdserver">
      <tp t="s">
        <v>#N/A N/A</v>
        <stp/>
        <stp>BDH|759887773394460211</stp>
        <tr r="D33" s="1"/>
        <tr r="D33" s="1"/>
      </tp>
    </main>
    <main first="bofaddin.rtdserver">
      <tp t="s">
        <v>#N/A N/A</v>
        <stp/>
        <stp>BDP|708096242468164754</stp>
        <tr r="C55" s="1"/>
        <tr r="C5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volatileDependencies" Target="volatileDependencies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88C57-C67B-4E4B-9EC1-9169B25078FD}">
  <sheetPr codeName="Sheet1"/>
  <dimension ref="B1:R86"/>
  <sheetViews>
    <sheetView showGridLines="0" tabSelected="1" zoomScale="90" zoomScaleNormal="90" workbookViewId="0">
      <selection activeCell="C3" sqref="C3"/>
    </sheetView>
  </sheetViews>
  <sheetFormatPr defaultRowHeight="14.5" x14ac:dyDescent="0.35"/>
  <cols>
    <col min="1" max="1" width="3" customWidth="1"/>
    <col min="2" max="2" width="26" style="5" customWidth="1"/>
    <col min="3" max="5" width="20.7265625" customWidth="1"/>
    <col min="6" max="6" width="14.1796875" style="1" customWidth="1"/>
    <col min="7" max="18" width="14.1796875" customWidth="1"/>
  </cols>
  <sheetData>
    <row r="1" spans="2:18" x14ac:dyDescent="0.35">
      <c r="G1" s="2"/>
      <c r="H1" s="2"/>
      <c r="I1" s="2"/>
      <c r="J1" s="2"/>
      <c r="K1" s="2"/>
      <c r="L1" s="2"/>
      <c r="M1" s="2"/>
      <c r="N1" s="2"/>
      <c r="O1" s="2"/>
    </row>
    <row r="2" spans="2:18" x14ac:dyDescent="0.35">
      <c r="C2" s="1"/>
      <c r="D2" s="1"/>
      <c r="E2" s="9" t="s">
        <v>22</v>
      </c>
      <c r="F2" s="6" cm="1">
        <f t="array" ref="F2">SUM(ABS(F5:F68))</f>
        <v>12768661</v>
      </c>
      <c r="G2" s="6" cm="1">
        <f t="array" ref="G2">SUM(ABS(G5:G68))</f>
        <v>9864694.9155844189</v>
      </c>
      <c r="H2" s="6" cm="1">
        <f t="array" ref="H2">SUM(ABS(H5:H68))</f>
        <v>8568993.1212121211</v>
      </c>
      <c r="I2" s="6" cm="1">
        <f t="array" ref="I2">SUM(ABS(I5:I68))</f>
        <v>7550381.9681818187</v>
      </c>
      <c r="J2" s="6" cm="1">
        <f t="array" ref="J2">SUM(ABS(J5:J68))</f>
        <v>6634703.5878787888</v>
      </c>
      <c r="K2" s="6" cm="1">
        <f t="array" ref="K2">SUM(ABS(K5:K68))</f>
        <v>5908347.8863636376</v>
      </c>
      <c r="L2" s="6" cm="1">
        <f t="array" ref="L2">SUM(ABS(L5:L68))</f>
        <v>4692442.4545454551</v>
      </c>
      <c r="M2" s="6" cm="1">
        <f t="array" ref="M2">SUM(ABS(M5:M68))</f>
        <v>4158260.6818181826</v>
      </c>
      <c r="N2" s="6" cm="1">
        <f t="array" ref="N2">SUM(ABS(N5:N68))</f>
        <v>3623752.1545454543</v>
      </c>
      <c r="O2" s="6" cm="1">
        <f t="array" ref="O2">SUM(ABS(O5:O68))</f>
        <v>1770005.3636363645</v>
      </c>
      <c r="P2" s="6" cm="1">
        <f t="array" ref="P2">SUM(ABS(P5:P68))</f>
        <v>902863.10909090773</v>
      </c>
      <c r="Q2" s="6" cm="1">
        <f t="array" ref="Q2">SUM(ABS(Q5:Q68))</f>
        <v>128625.46363636128</v>
      </c>
      <c r="R2" s="6" cm="1">
        <f t="array" ref="R2">SUM(ABS(R5:R68))</f>
        <v>0</v>
      </c>
    </row>
    <row r="3" spans="2:18" x14ac:dyDescent="0.35">
      <c r="B3" s="4">
        <v>45573</v>
      </c>
      <c r="C3" s="3">
        <v>0.1</v>
      </c>
      <c r="E3" s="9" t="s">
        <v>23</v>
      </c>
      <c r="F3" s="10">
        <f t="shared" ref="F3:R3" si="0">1-ABS((F2-$F$2))/$F$2</f>
        <v>1</v>
      </c>
      <c r="G3" s="10">
        <f t="shared" si="0"/>
        <v>0.77257082129319743</v>
      </c>
      <c r="H3" s="10">
        <f t="shared" si="0"/>
        <v>0.67109567097224376</v>
      </c>
      <c r="I3" s="10">
        <f t="shared" si="0"/>
        <v>0.59132135845581768</v>
      </c>
      <c r="J3" s="10">
        <f t="shared" si="0"/>
        <v>0.51960840591498114</v>
      </c>
      <c r="K3" s="10">
        <f t="shared" si="0"/>
        <v>0.462722589812952</v>
      </c>
      <c r="L3" s="10">
        <f t="shared" si="0"/>
        <v>0.36749683107300402</v>
      </c>
      <c r="M3" s="10">
        <f t="shared" si="0"/>
        <v>0.32566145203621455</v>
      </c>
      <c r="N3" s="10">
        <f t="shared" si="0"/>
        <v>0.28380048264617996</v>
      </c>
      <c r="O3" s="10">
        <f t="shared" si="0"/>
        <v>0.13862106321378298</v>
      </c>
      <c r="P3" s="10">
        <f t="shared" si="0"/>
        <v>7.070930218062077E-2</v>
      </c>
      <c r="Q3" s="10">
        <f t="shared" si="0"/>
        <v>1.0073527963218809E-2</v>
      </c>
      <c r="R3" s="10">
        <f t="shared" si="0"/>
        <v>0</v>
      </c>
    </row>
    <row r="4" spans="2:18" x14ac:dyDescent="0.35">
      <c r="B4" s="11" t="s">
        <v>24</v>
      </c>
      <c r="C4" s="7" t="s">
        <v>6</v>
      </c>
      <c r="D4" s="7" t="s">
        <v>7</v>
      </c>
      <c r="E4" s="7" t="s">
        <v>8</v>
      </c>
      <c r="F4" s="8" t="s">
        <v>16</v>
      </c>
      <c r="G4" s="7" t="s">
        <v>9</v>
      </c>
      <c r="H4" s="7" t="s">
        <v>10</v>
      </c>
      <c r="I4" s="7" t="s">
        <v>11</v>
      </c>
      <c r="J4" s="7" t="s">
        <v>12</v>
      </c>
      <c r="K4" s="7" t="s">
        <v>13</v>
      </c>
      <c r="L4" s="7" t="s">
        <v>14</v>
      </c>
      <c r="M4" s="7" t="s">
        <v>15</v>
      </c>
      <c r="N4" s="7" t="s">
        <v>17</v>
      </c>
      <c r="O4" s="7" t="s">
        <v>19</v>
      </c>
      <c r="P4" s="7" t="s">
        <v>18</v>
      </c>
      <c r="Q4" s="7" t="s">
        <v>20</v>
      </c>
      <c r="R4" s="7" t="s">
        <v>21</v>
      </c>
    </row>
    <row r="5" spans="2:18" x14ac:dyDescent="0.35">
      <c r="B5" s="12" t="s">
        <v>25</v>
      </c>
      <c r="C5" s="13" cm="1">
        <f t="array" ref="C5">IF(LEFT((_xll.BDP(B5,"INTERVAL_AVG","MARKET_DATA_OVERRIDE=PX_VOLUME","CALC_INTERVAL=3M","END_DATE_OVERRIDE="&amp;TEXT(AsOfDate,"YYYYMMDD"))),4)="#N/A","",_xll.BDP(B5,"INTERVAL_AVG","MARKET_DATA_OVERRIDE=PX_VOLUME","CALC_INTERVAL=3M","END_DATE_OVERRIDE="&amp;TEXT(AsOfDate,"YYYYMMDD")))</f>
        <v>90828.621212121201</v>
      </c>
      <c r="D5" s="14" cm="1">
        <f t="array" ref="D5">IF(LEFT(_xll.BDH($B5, D$4, AsOfDate), 4) = "#N/A", "", _xll.BDH($B5, D$4, AsOfDate))</f>
        <v>282109</v>
      </c>
      <c r="E5" s="14">
        <f t="shared" ref="E5:E36" si="1">IF(C5 = "", "", C5*PctDailyVol)</f>
        <v>9082.8621212121197</v>
      </c>
      <c r="F5" s="14">
        <v>575378</v>
      </c>
      <c r="G5" s="14">
        <v>566295.13787878794</v>
      </c>
      <c r="H5" s="14">
        <v>557212.27575757587</v>
      </c>
      <c r="I5" s="14">
        <v>548129.41363636381</v>
      </c>
      <c r="J5" s="14">
        <v>539046.55151515175</v>
      </c>
      <c r="K5" s="14">
        <v>529963.68939393968</v>
      </c>
      <c r="L5" s="14">
        <v>484549.37878787908</v>
      </c>
      <c r="M5" s="14">
        <v>439135.06818181847</v>
      </c>
      <c r="N5" s="14">
        <v>384637.89545454574</v>
      </c>
      <c r="O5" s="14">
        <v>193897.79090909119</v>
      </c>
      <c r="P5" s="14">
        <v>3157.6863636366361</v>
      </c>
      <c r="Q5" s="14">
        <v>0</v>
      </c>
      <c r="R5" s="14"/>
    </row>
    <row r="6" spans="2:18" x14ac:dyDescent="0.35">
      <c r="B6" s="15" t="s">
        <v>65</v>
      </c>
      <c r="C6" s="13" cm="1">
        <f t="array" ref="C6">IF(LEFT((_xll.BDP(B6,"INTERVAL_AVG","MARKET_DATA_OVERRIDE=PX_VOLUME","CALC_INTERVAL=3M","END_DATE_OVERRIDE="&amp;TEXT(AsOfDate,"YYYYMMDD"))),4)="#N/A","",_xll.BDP(B6,"INTERVAL_AVG","MARKET_DATA_OVERRIDE=PX_VOLUME","CALC_INTERVAL=3M","END_DATE_OVERRIDE="&amp;TEXT(AsOfDate,"YYYYMMDD")))</f>
        <v>1102942.7424242427</v>
      </c>
      <c r="D6" s="17" cm="1">
        <f t="array" ref="D6">IF(LEFT(_xll.BDH($B6, D$4, AsOfDate), 4) = "#N/A", "", _xll.BDH($B6, D$4, AsOfDate))</f>
        <v>244984</v>
      </c>
      <c r="E6" s="17">
        <f t="shared" si="1"/>
        <v>110294.27424242428</v>
      </c>
      <c r="F6" s="17">
        <v>100000</v>
      </c>
      <c r="G6" s="17">
        <v>0</v>
      </c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2:18" x14ac:dyDescent="0.35">
      <c r="B7" s="12" t="s">
        <v>51</v>
      </c>
      <c r="C7" s="13" cm="1">
        <f t="array" ref="C7">IF(LEFT((_xll.BDP(B7,"INTERVAL_AVG","MARKET_DATA_OVERRIDE=PX_VOLUME","CALC_INTERVAL=3M","END_DATE_OVERRIDE="&amp;TEXT(AsOfDate,"YYYYMMDD"))),4)="#N/A","",_xll.BDP(B7,"INTERVAL_AVG","MARKET_DATA_OVERRIDE=PX_VOLUME","CALC_INTERVAL=3M","END_DATE_OVERRIDE="&amp;TEXT(AsOfDate,"YYYYMMDD")))</f>
        <v>1783772.666666666</v>
      </c>
      <c r="D7" s="14" cm="1">
        <f t="array" ref="D7">IF(LEFT(_xll.BDH($B7, D$4, AsOfDate), 4) = "#N/A", "", _xll.BDH($B7, D$4, AsOfDate))</f>
        <v>1458381</v>
      </c>
      <c r="E7" s="14">
        <f t="shared" si="1"/>
        <v>178377.2666666666</v>
      </c>
      <c r="F7" s="14">
        <v>182900</v>
      </c>
      <c r="G7" s="14">
        <v>4522.7333333333954</v>
      </c>
      <c r="H7" s="14">
        <v>0</v>
      </c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2:18" x14ac:dyDescent="0.35">
      <c r="B8" s="15" t="s">
        <v>0</v>
      </c>
      <c r="C8" s="16" cm="1">
        <f t="array" ref="C8">IF(LEFT((_xll.BDP(B8,"INTERVAL_AVG","MARKET_DATA_OVERRIDE=PX_VOLUME","CALC_INTERVAL=3M","END_DATE_OVERRIDE="&amp;TEXT(AsOfDate,"YYYYMMDD"))),4)="#N/A","",_xll.BDP(B8,"INTERVAL_AVG","MARKET_DATA_OVERRIDE=PX_VOLUME","CALC_INTERVAL=3M","END_DATE_OVERRIDE="&amp;TEXT(AsOfDate,"YYYYMMDD")))</f>
        <v>431262.66666666669</v>
      </c>
      <c r="D8" s="17" cm="1">
        <f t="array" ref="D8">IF(LEFT(_xll.BDH($B8, D$4, AsOfDate), 4) = "#N/A", "", _xll.BDH($B8, D$4, AsOfDate))</f>
        <v>183686</v>
      </c>
      <c r="E8" s="17">
        <f t="shared" si="1"/>
        <v>43126.26666666667</v>
      </c>
      <c r="F8" s="17">
        <v>100000</v>
      </c>
      <c r="G8" s="17">
        <v>56873.73333333333</v>
      </c>
      <c r="H8" s="17">
        <v>13747.46666666666</v>
      </c>
      <c r="I8" s="17">
        <v>0</v>
      </c>
      <c r="J8" s="17"/>
      <c r="K8" s="17"/>
      <c r="L8" s="17"/>
      <c r="M8" s="17"/>
      <c r="N8" s="17"/>
      <c r="O8" s="17"/>
      <c r="P8" s="17"/>
      <c r="Q8" s="17"/>
      <c r="R8" s="17"/>
    </row>
    <row r="9" spans="2:18" x14ac:dyDescent="0.35">
      <c r="B9" s="12" t="s">
        <v>0</v>
      </c>
      <c r="C9" s="13" cm="1">
        <f t="array" ref="C9">IF(LEFT((_xll.BDP(B9,"INTERVAL_AVG","MARKET_DATA_OVERRIDE=PX_VOLUME","CALC_INTERVAL=3M","END_DATE_OVERRIDE="&amp;TEXT(AsOfDate,"YYYYMMDD"))),4)="#N/A","",_xll.BDP(B9,"INTERVAL_AVG","MARKET_DATA_OVERRIDE=PX_VOLUME","CALC_INTERVAL=3M","END_DATE_OVERRIDE="&amp;TEXT(AsOfDate,"YYYYMMDD")))</f>
        <v>431262.66666666669</v>
      </c>
      <c r="D9" s="14" cm="1">
        <f t="array" ref="D9">IF(LEFT(_xll.BDH($B9, D$4, AsOfDate), 4) = "#N/A", "", _xll.BDH($B9, D$4, AsOfDate))</f>
        <v>183686</v>
      </c>
      <c r="E9" s="14">
        <f t="shared" si="1"/>
        <v>43126.26666666667</v>
      </c>
      <c r="F9" s="14">
        <v>-64713</v>
      </c>
      <c r="G9" s="14">
        <v>-21586.73333333333</v>
      </c>
      <c r="H9" s="14">
        <v>0</v>
      </c>
      <c r="I9" s="14"/>
      <c r="J9" s="14"/>
      <c r="K9" s="14"/>
      <c r="L9" s="14"/>
      <c r="M9" s="14"/>
      <c r="N9" s="14"/>
      <c r="O9" s="14"/>
      <c r="P9" s="14"/>
      <c r="Q9" s="14"/>
      <c r="R9" s="14"/>
    </row>
    <row r="10" spans="2:18" x14ac:dyDescent="0.35">
      <c r="B10" s="15" t="s">
        <v>52</v>
      </c>
      <c r="C10" s="16" cm="1">
        <f t="array" ref="C10">IF(LEFT((_xll.BDP(B10,"INTERVAL_AVG","MARKET_DATA_OVERRIDE=PX_VOLUME","CALC_INTERVAL=3M","END_DATE_OVERRIDE="&amp;TEXT(AsOfDate,"YYYYMMDD"))),4)="#N/A","",_xll.BDP(B10,"INTERVAL_AVG","MARKET_DATA_OVERRIDE=PX_VOLUME","CALC_INTERVAL=3M","END_DATE_OVERRIDE="&amp;TEXT(AsOfDate,"YYYYMMDD")))</f>
        <v>459151.75757575751</v>
      </c>
      <c r="D10" s="17" cm="1">
        <f t="array" ref="D10">IF(LEFT(_xll.BDH($B10, D$4, AsOfDate), 4) = "#N/A", "", _xll.BDH($B10, D$4, AsOfDate))</f>
        <v>510059</v>
      </c>
      <c r="E10" s="17">
        <f t="shared" si="1"/>
        <v>45915.175757575751</v>
      </c>
      <c r="F10" s="17">
        <v>52500</v>
      </c>
      <c r="G10" s="17">
        <v>6584.824242424249</v>
      </c>
      <c r="H10" s="17">
        <v>0</v>
      </c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2:18" x14ac:dyDescent="0.35">
      <c r="B11" s="12" t="s">
        <v>53</v>
      </c>
      <c r="C11" s="13" cm="1">
        <f t="array" ref="C11">IF(LEFT((_xll.BDP(B11,"INTERVAL_AVG","MARKET_DATA_OVERRIDE=PX_VOLUME","CALC_INTERVAL=3M","END_DATE_OVERRIDE="&amp;TEXT(AsOfDate,"YYYYMMDD"))),4)="#N/A","",_xll.BDP(B11,"INTERVAL_AVG","MARKET_DATA_OVERRIDE=PX_VOLUME","CALC_INTERVAL=3M","END_DATE_OVERRIDE="&amp;TEXT(AsOfDate,"YYYYMMDD")))</f>
        <v>6920528.5714285709</v>
      </c>
      <c r="D11" s="14" cm="1">
        <f t="array" ref="D11">IF(LEFT(_xll.BDH($B11, D$4, AsOfDate), 4) = "#N/A", "", _xll.BDH($B11, D$4, AsOfDate))</f>
        <v>5461400</v>
      </c>
      <c r="E11" s="14">
        <f t="shared" si="1"/>
        <v>692052.85714285716</v>
      </c>
      <c r="F11" s="14">
        <v>810000</v>
      </c>
      <c r="G11" s="14">
        <v>117947.14285714284</v>
      </c>
      <c r="H11" s="14">
        <v>0</v>
      </c>
      <c r="I11" s="14"/>
      <c r="J11" s="14"/>
      <c r="K11" s="14"/>
      <c r="L11" s="14"/>
      <c r="M11" s="14"/>
      <c r="N11" s="14"/>
      <c r="O11" s="14"/>
      <c r="P11" s="14"/>
      <c r="Q11" s="14"/>
      <c r="R11" s="14"/>
    </row>
    <row r="12" spans="2:18" x14ac:dyDescent="0.35">
      <c r="B12" s="15" t="s">
        <v>40</v>
      </c>
      <c r="C12" s="16" cm="1">
        <f t="array" ref="C12">IF(LEFT((_xll.BDP(B12,"INTERVAL_AVG","MARKET_DATA_OVERRIDE=PX_VOLUME","CALC_INTERVAL=3M","END_DATE_OVERRIDE="&amp;TEXT(AsOfDate,"YYYYMMDD"))),4)="#N/A","",_xll.BDP(B12,"INTERVAL_AVG","MARKET_DATA_OVERRIDE=PX_VOLUME","CALC_INTERVAL=3M","END_DATE_OVERRIDE="&amp;TEXT(AsOfDate,"YYYYMMDD")))</f>
        <v>17350.727272727279</v>
      </c>
      <c r="D12" s="17" cm="1">
        <f t="array" ref="D12">IF(LEFT(_xll.BDH($B12, D$4, AsOfDate), 4) = "#N/A", "", _xll.BDH($B12, D$4, AsOfDate))</f>
        <v>20289</v>
      </c>
      <c r="E12" s="17">
        <f t="shared" si="1"/>
        <v>1735.0727272727281</v>
      </c>
      <c r="F12" s="17">
        <v>55840</v>
      </c>
      <c r="G12" s="17">
        <v>54104.927272727269</v>
      </c>
      <c r="H12" s="17">
        <v>52369.854545454538</v>
      </c>
      <c r="I12" s="17">
        <v>50634.781818181807</v>
      </c>
      <c r="J12" s="17">
        <v>48899.709090909077</v>
      </c>
      <c r="K12" s="17">
        <v>47164.636363636346</v>
      </c>
      <c r="L12" s="17">
        <v>38489.272727272692</v>
      </c>
      <c r="M12" s="17">
        <v>29813.909090909045</v>
      </c>
      <c r="N12" s="17">
        <v>19403.472727272681</v>
      </c>
      <c r="O12" s="17">
        <v>0</v>
      </c>
      <c r="P12" s="17"/>
      <c r="Q12" s="17"/>
      <c r="R12" s="17"/>
    </row>
    <row r="13" spans="2:18" x14ac:dyDescent="0.35">
      <c r="B13" s="12" t="s">
        <v>41</v>
      </c>
      <c r="C13" s="13" cm="1">
        <f t="array" ref="C13">IF(LEFT((_xll.BDP(B13,"INTERVAL_AVG","MARKET_DATA_OVERRIDE=PX_VOLUME","CALC_INTERVAL=3M","END_DATE_OVERRIDE="&amp;TEXT(AsOfDate,"YYYYMMDD"))),4)="#N/A","",_xll.BDP(B13,"INTERVAL_AVG","MARKET_DATA_OVERRIDE=PX_VOLUME","CALC_INTERVAL=3M","END_DATE_OVERRIDE="&amp;TEXT(AsOfDate,"YYYYMMDD")))</f>
        <v>58358.590909090919</v>
      </c>
      <c r="D13" s="14" cm="1">
        <f t="array" ref="D13">IF(LEFT(_xll.BDH($B13, D$4, AsOfDate), 4) = "#N/A", "", _xll.BDH($B13, D$4, AsOfDate))</f>
        <v>28666</v>
      </c>
      <c r="E13" s="14">
        <f t="shared" si="1"/>
        <v>5835.8590909090926</v>
      </c>
      <c r="F13" s="14">
        <v>645433</v>
      </c>
      <c r="G13" s="14">
        <v>639597.14090909087</v>
      </c>
      <c r="H13" s="14">
        <v>633761.28181818174</v>
      </c>
      <c r="I13" s="14">
        <v>627925.42272727261</v>
      </c>
      <c r="J13" s="14">
        <v>622089.56363636348</v>
      </c>
      <c r="K13" s="14">
        <v>616253.70454545435</v>
      </c>
      <c r="L13" s="14">
        <v>587074.40909090871</v>
      </c>
      <c r="M13" s="14">
        <v>557895.11363636306</v>
      </c>
      <c r="N13" s="14">
        <v>522879.95909090835</v>
      </c>
      <c r="O13" s="14">
        <v>400326.91818181786</v>
      </c>
      <c r="P13" s="14">
        <v>277773.87727272738</v>
      </c>
      <c r="Q13" s="14">
        <v>0</v>
      </c>
      <c r="R13" s="14"/>
    </row>
    <row r="14" spans="2:18" x14ac:dyDescent="0.35">
      <c r="B14" s="15" t="s">
        <v>26</v>
      </c>
      <c r="C14" s="16" cm="1">
        <f t="array" ref="C14">IF(LEFT((_xll.BDP(B14,"INTERVAL_AVG","MARKET_DATA_OVERRIDE=PX_VOLUME","CALC_INTERVAL=3M","END_DATE_OVERRIDE="&amp;TEXT(AsOfDate,"YYYYMMDD"))),4)="#N/A","",_xll.BDP(B14,"INTERVAL_AVG","MARKET_DATA_OVERRIDE=PX_VOLUME","CALC_INTERVAL=3M","END_DATE_OVERRIDE="&amp;TEXT(AsOfDate,"YYYYMMDD")))</f>
        <v>584521.72727272729</v>
      </c>
      <c r="D14" s="17" cm="1">
        <f t="array" ref="D14">IF(LEFT(_xll.BDH($B14, D$4, AsOfDate), 4) = "#N/A", "", _xll.BDH($B14, D$4, AsOfDate))</f>
        <v>382531</v>
      </c>
      <c r="E14" s="17">
        <f t="shared" si="1"/>
        <v>58452.172727272729</v>
      </c>
      <c r="F14" s="17">
        <v>170000</v>
      </c>
      <c r="G14" s="17">
        <v>111547.82727272727</v>
      </c>
      <c r="H14" s="17">
        <v>53095.654545454541</v>
      </c>
      <c r="I14" s="17">
        <v>0</v>
      </c>
      <c r="J14" s="17"/>
      <c r="K14" s="17"/>
      <c r="L14" s="17"/>
      <c r="M14" s="17"/>
      <c r="N14" s="17"/>
      <c r="O14" s="17"/>
      <c r="P14" s="17"/>
      <c r="Q14" s="17"/>
      <c r="R14" s="17"/>
    </row>
    <row r="15" spans="2:18" x14ac:dyDescent="0.35">
      <c r="B15" s="12" t="s">
        <v>62</v>
      </c>
      <c r="C15" s="13" cm="1">
        <f t="array" ref="C15">IF(LEFT((_xll.BDP(B15,"INTERVAL_AVG","MARKET_DATA_OVERRIDE=PX_VOLUME","CALC_INTERVAL=3M","END_DATE_OVERRIDE="&amp;TEXT(AsOfDate,"YYYYMMDD"))),4)="#N/A","",_xll.BDP(B15,"INTERVAL_AVG","MARKET_DATA_OVERRIDE=PX_VOLUME","CALC_INTERVAL=3M","END_DATE_OVERRIDE="&amp;TEXT(AsOfDate,"YYYYMMDD")))</f>
        <v>497473.7121212121</v>
      </c>
      <c r="D15" s="14" cm="1">
        <f t="array" ref="D15">IF(LEFT(_xll.BDH($B15, D$4, AsOfDate), 4) = "#N/A", "", _xll.BDH($B15, D$4, AsOfDate))</f>
        <v>320684</v>
      </c>
      <c r="E15" s="14">
        <f t="shared" si="1"/>
        <v>49747.371212121216</v>
      </c>
      <c r="F15" s="14">
        <v>485000</v>
      </c>
      <c r="G15" s="14">
        <v>435252.62878787878</v>
      </c>
      <c r="H15" s="14">
        <v>385505.25757575757</v>
      </c>
      <c r="I15" s="14">
        <v>335757.88636363635</v>
      </c>
      <c r="J15" s="14">
        <v>286010.51515151514</v>
      </c>
      <c r="K15" s="14">
        <v>236263.14393939392</v>
      </c>
      <c r="L15" s="14">
        <v>0</v>
      </c>
      <c r="M15" s="14"/>
      <c r="N15" s="14"/>
      <c r="O15" s="14"/>
      <c r="P15" s="14"/>
      <c r="Q15" s="14"/>
      <c r="R15" s="14"/>
    </row>
    <row r="16" spans="2:18" x14ac:dyDescent="0.35">
      <c r="B16" s="15" t="s">
        <v>42</v>
      </c>
      <c r="C16" s="16" cm="1">
        <f t="array" ref="C16">IF(LEFT((_xll.BDP(B16,"INTERVAL_AVG","MARKET_DATA_OVERRIDE=PX_VOLUME","CALC_INTERVAL=3M","END_DATE_OVERRIDE="&amp;TEXT(AsOfDate,"YYYYMMDD"))),4)="#N/A","",_xll.BDP(B16,"INTERVAL_AVG","MARKET_DATA_OVERRIDE=PX_VOLUME","CALC_INTERVAL=3M","END_DATE_OVERRIDE="&amp;TEXT(AsOfDate,"YYYYMMDD")))</f>
        <v>181014.71212121216</v>
      </c>
      <c r="D16" s="17" cm="1">
        <f t="array" ref="D16">IF(LEFT(_xll.BDH($B16, D$4, AsOfDate), 4) = "#N/A", "", _xll.BDH($B16, D$4, AsOfDate))</f>
        <v>32911</v>
      </c>
      <c r="E16" s="17">
        <f t="shared" si="1"/>
        <v>18101.471212121218</v>
      </c>
      <c r="F16" s="17">
        <v>1169491</v>
      </c>
      <c r="G16" s="17">
        <v>1151389.5287878788</v>
      </c>
      <c r="H16" s="17">
        <v>1133288.0575757576</v>
      </c>
      <c r="I16" s="17">
        <v>1115186.5863636364</v>
      </c>
      <c r="J16" s="17">
        <v>1097085.1151515152</v>
      </c>
      <c r="K16" s="17">
        <v>1078983.643939394</v>
      </c>
      <c r="L16" s="17">
        <v>988476.28787878808</v>
      </c>
      <c r="M16" s="17">
        <v>897968.93181818211</v>
      </c>
      <c r="N16" s="17">
        <v>789360.10454545496</v>
      </c>
      <c r="O16" s="17">
        <v>409229.20909090992</v>
      </c>
      <c r="P16" s="17">
        <v>29098.313636364506</v>
      </c>
      <c r="Q16" s="17">
        <v>0</v>
      </c>
      <c r="R16" s="17"/>
    </row>
    <row r="17" spans="2:18" x14ac:dyDescent="0.35">
      <c r="B17" s="12" t="s">
        <v>38</v>
      </c>
      <c r="C17" s="13" cm="1">
        <f t="array" ref="C17">IF(LEFT((_xll.BDP(B17,"INTERVAL_AVG","MARKET_DATA_OVERRIDE=PX_VOLUME","CALC_INTERVAL=3M","END_DATE_OVERRIDE="&amp;TEXT(AsOfDate,"YYYYMMDD"))),4)="#N/A","",_xll.BDP(B17,"INTERVAL_AVG","MARKET_DATA_OVERRIDE=PX_VOLUME","CALC_INTERVAL=3M","END_DATE_OVERRIDE="&amp;TEXT(AsOfDate,"YYYYMMDD")))</f>
        <v>625405.93939393933</v>
      </c>
      <c r="D17" s="14" cm="1">
        <f t="array" ref="D17">IF(LEFT(_xll.BDH($B17, D$4, AsOfDate), 4) = "#N/A", "", _xll.BDH($B17, D$4, AsOfDate))</f>
        <v>292418</v>
      </c>
      <c r="E17" s="14">
        <f t="shared" si="1"/>
        <v>62540.593939393933</v>
      </c>
      <c r="F17" s="14">
        <v>22750</v>
      </c>
      <c r="G17" s="14"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35">
      <c r="B18" s="15" t="s">
        <v>27</v>
      </c>
      <c r="C18" s="16" cm="1">
        <f t="array" ref="C18">IF(LEFT((_xll.BDP(B18,"INTERVAL_AVG","MARKET_DATA_OVERRIDE=PX_VOLUME","CALC_INTERVAL=3M","END_DATE_OVERRIDE="&amp;TEXT(AsOfDate,"YYYYMMDD"))),4)="#N/A","",_xll.BDP(B18,"INTERVAL_AVG","MARKET_DATA_OVERRIDE=PX_VOLUME","CALC_INTERVAL=3M","END_DATE_OVERRIDE="&amp;TEXT(AsOfDate,"YYYYMMDD")))</f>
        <v>1254793.4090909092</v>
      </c>
      <c r="D18" s="17" cm="1">
        <f t="array" ref="D18">IF(LEFT(_xll.BDH($B18, D$4, AsOfDate), 4) = "#N/A", "", _xll.BDH($B18, D$4, AsOfDate))</f>
        <v>809371</v>
      </c>
      <c r="E18" s="17">
        <f t="shared" si="1"/>
        <v>125479.34090909093</v>
      </c>
      <c r="F18" s="17">
        <v>45000</v>
      </c>
      <c r="G18" s="17">
        <v>0</v>
      </c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2:18" x14ac:dyDescent="0.35">
      <c r="B19" s="12" t="s">
        <v>28</v>
      </c>
      <c r="C19" s="13" cm="1">
        <f t="array" ref="C19">IF(LEFT((_xll.BDP(B19,"INTERVAL_AVG","MARKET_DATA_OVERRIDE=PX_VOLUME","CALC_INTERVAL=3M","END_DATE_OVERRIDE="&amp;TEXT(AsOfDate,"YYYYMMDD"))),4)="#N/A","",_xll.BDP(B19,"INTERVAL_AVG","MARKET_DATA_OVERRIDE=PX_VOLUME","CALC_INTERVAL=3M","END_DATE_OVERRIDE="&amp;TEXT(AsOfDate,"YYYYMMDD")))</f>
        <v>203313.80303030301</v>
      </c>
      <c r="D19" s="14" cm="1">
        <f t="array" ref="D19">IF(LEFT(_xll.BDH($B19, D$4, AsOfDate), 4) = "#N/A", "", _xll.BDH($B19, D$4, AsOfDate))</f>
        <v>454143</v>
      </c>
      <c r="E19" s="14">
        <f t="shared" si="1"/>
        <v>20331.380303030302</v>
      </c>
      <c r="F19" s="14">
        <v>56170</v>
      </c>
      <c r="G19" s="14">
        <v>35838.619696969698</v>
      </c>
      <c r="H19" s="14">
        <v>15507.239393939395</v>
      </c>
      <c r="I19" s="14">
        <v>0</v>
      </c>
      <c r="J19" s="14"/>
      <c r="K19" s="14"/>
      <c r="L19" s="14"/>
      <c r="M19" s="14"/>
      <c r="N19" s="14"/>
      <c r="O19" s="14"/>
      <c r="P19" s="14"/>
      <c r="Q19" s="14"/>
      <c r="R19" s="14"/>
    </row>
    <row r="20" spans="2:18" x14ac:dyDescent="0.35">
      <c r="B20" s="15" t="s">
        <v>1</v>
      </c>
      <c r="C20" s="16" cm="1">
        <f t="array" ref="C20">IF(LEFT((_xll.BDP(B20,"INTERVAL_AVG","MARKET_DATA_OVERRIDE=PX_VOLUME","CALC_INTERVAL=3M","END_DATE_OVERRIDE="&amp;TEXT(AsOfDate,"YYYYMMDD"))),4)="#N/A","",_xll.BDP(B20,"INTERVAL_AVG","MARKET_DATA_OVERRIDE=PX_VOLUME","CALC_INTERVAL=3M","END_DATE_OVERRIDE="&amp;TEXT(AsOfDate,"YYYYMMDD")))</f>
        <v>1212523.5909090906</v>
      </c>
      <c r="D20" s="17" cm="1">
        <f t="array" ref="D20">IF(LEFT(_xll.BDH($B20, D$4, AsOfDate), 4) = "#N/A", "", _xll.BDH($B20, D$4, AsOfDate))</f>
        <v>533432</v>
      </c>
      <c r="E20" s="17">
        <f t="shared" si="1"/>
        <v>121252.35909090907</v>
      </c>
      <c r="F20" s="17">
        <v>633538</v>
      </c>
      <c r="G20" s="17">
        <v>512285.64090909093</v>
      </c>
      <c r="H20" s="17">
        <v>391033.28181818186</v>
      </c>
      <c r="I20" s="17">
        <v>269780.92272727279</v>
      </c>
      <c r="J20" s="17">
        <v>148528.56363636372</v>
      </c>
      <c r="K20" s="17">
        <v>27276.204545454646</v>
      </c>
      <c r="L20" s="17">
        <v>0</v>
      </c>
      <c r="M20" s="17"/>
      <c r="N20" s="17"/>
      <c r="O20" s="17"/>
      <c r="P20" s="17"/>
      <c r="Q20" s="17"/>
      <c r="R20" s="17"/>
    </row>
    <row r="21" spans="2:18" x14ac:dyDescent="0.35">
      <c r="B21" s="12" t="s">
        <v>2</v>
      </c>
      <c r="C21" s="13" cm="1">
        <f t="array" ref="C21">IF(LEFT((_xll.BDP(B21,"INTERVAL_AVG","MARKET_DATA_OVERRIDE=PX_VOLUME","CALC_INTERVAL=3M","END_DATE_OVERRIDE="&amp;TEXT(AsOfDate,"YYYYMMDD"))),4)="#N/A","",_xll.BDP(B21,"INTERVAL_AVG","MARKET_DATA_OVERRIDE=PX_VOLUME","CALC_INTERVAL=3M","END_DATE_OVERRIDE="&amp;TEXT(AsOfDate,"YYYYMMDD")))</f>
        <v>545080.59090909094</v>
      </c>
      <c r="D21" s="14" cm="1">
        <f t="array" ref="D21">IF(LEFT(_xll.BDH($B21, D$4, AsOfDate), 4) = "#N/A", "", _xll.BDH($B21, D$4, AsOfDate))</f>
        <v>954152</v>
      </c>
      <c r="E21" s="14">
        <f t="shared" si="1"/>
        <v>54508.059090909097</v>
      </c>
      <c r="F21" s="14">
        <v>385347</v>
      </c>
      <c r="G21" s="14">
        <v>330838.94090909092</v>
      </c>
      <c r="H21" s="14">
        <v>276330.88181818184</v>
      </c>
      <c r="I21" s="14">
        <v>221822.82272727275</v>
      </c>
      <c r="J21" s="14">
        <v>167314.76363636367</v>
      </c>
      <c r="K21" s="14">
        <v>112806.70454545457</v>
      </c>
      <c r="L21" s="14">
        <v>0</v>
      </c>
      <c r="M21" s="14"/>
      <c r="N21" s="14"/>
      <c r="O21" s="14"/>
      <c r="P21" s="14"/>
      <c r="Q21" s="14"/>
      <c r="R21" s="14"/>
    </row>
    <row r="22" spans="2:18" x14ac:dyDescent="0.35">
      <c r="B22" s="15" t="s">
        <v>3</v>
      </c>
      <c r="C22" s="16" cm="1">
        <f t="array" ref="C22">IF(LEFT((_xll.BDP(B22,"INTERVAL_AVG","MARKET_DATA_OVERRIDE=PX_VOLUME","CALC_INTERVAL=3M","END_DATE_OVERRIDE="&amp;TEXT(AsOfDate,"YYYYMMDD"))),4)="#N/A","",_xll.BDP(B22,"INTERVAL_AVG","MARKET_DATA_OVERRIDE=PX_VOLUME","CALC_INTERVAL=3M","END_DATE_OVERRIDE="&amp;TEXT(AsOfDate,"YYYYMMDD")))</f>
        <v>1135428.2272727271</v>
      </c>
      <c r="D22" s="17" cm="1">
        <f t="array" ref="D22">IF(LEFT(_xll.BDH($B22, D$4, AsOfDate), 4) = "#N/A", "", _xll.BDH($B22, D$4, AsOfDate))</f>
        <v>604084</v>
      </c>
      <c r="E22" s="17">
        <f t="shared" si="1"/>
        <v>113542.82272727271</v>
      </c>
      <c r="F22" s="17">
        <v>613028</v>
      </c>
      <c r="G22" s="17">
        <v>499485.17727272731</v>
      </c>
      <c r="H22" s="17">
        <v>385942.35454545461</v>
      </c>
      <c r="I22" s="17">
        <v>272399.53181818192</v>
      </c>
      <c r="J22" s="17">
        <v>158856.70909090922</v>
      </c>
      <c r="K22" s="17">
        <v>45313.886363636513</v>
      </c>
      <c r="L22" s="17">
        <v>0</v>
      </c>
      <c r="M22" s="17"/>
      <c r="N22" s="17"/>
      <c r="O22" s="17"/>
      <c r="P22" s="17"/>
      <c r="Q22" s="17"/>
      <c r="R22" s="17"/>
    </row>
    <row r="23" spans="2:18" x14ac:dyDescent="0.35">
      <c r="B23" s="12" t="s">
        <v>43</v>
      </c>
      <c r="C23" s="13" cm="1">
        <f t="array" ref="C23">IF(LEFT((_xll.BDP(B23,"INTERVAL_AVG","MARKET_DATA_OVERRIDE=PX_VOLUME","CALC_INTERVAL=3M","END_DATE_OVERRIDE="&amp;TEXT(AsOfDate,"YYYYMMDD"))),4)="#N/A","",_xll.BDP(B23,"INTERVAL_AVG","MARKET_DATA_OVERRIDE=PX_VOLUME","CALC_INTERVAL=3M","END_DATE_OVERRIDE="&amp;TEXT(AsOfDate,"YYYYMMDD")))</f>
        <v>257535.4393939393</v>
      </c>
      <c r="D23" s="14" cm="1">
        <f t="array" ref="D23">IF(LEFT(_xll.BDH($B23, D$4, AsOfDate), 4) = "#N/A", "", _xll.BDH($B23, D$4, AsOfDate))</f>
        <v>140906</v>
      </c>
      <c r="E23" s="14">
        <f t="shared" si="1"/>
        <v>25753.54393939393</v>
      </c>
      <c r="F23" s="14">
        <v>172405</v>
      </c>
      <c r="G23" s="14">
        <v>146651.45606060605</v>
      </c>
      <c r="H23" s="14">
        <v>120897.91212121212</v>
      </c>
      <c r="I23" s="14">
        <v>95144.368181818194</v>
      </c>
      <c r="J23" s="14">
        <v>69390.824242424264</v>
      </c>
      <c r="K23" s="14">
        <v>43637.280303030333</v>
      </c>
      <c r="L23" s="14">
        <v>0</v>
      </c>
      <c r="M23" s="14"/>
      <c r="N23" s="14"/>
      <c r="O23" s="14"/>
      <c r="P23" s="14"/>
      <c r="Q23" s="14"/>
      <c r="R23" s="14"/>
    </row>
    <row r="24" spans="2:18" x14ac:dyDescent="0.35">
      <c r="B24" s="15" t="s">
        <v>63</v>
      </c>
      <c r="C24" s="16" cm="1">
        <f t="array" ref="C24">IF(LEFT((_xll.BDP(B24,"INTERVAL_AVG","MARKET_DATA_OVERRIDE=PX_VOLUME","CALC_INTERVAL=3M","END_DATE_OVERRIDE="&amp;TEXT(AsOfDate,"YYYYMMDD"))),4)="#N/A","",_xll.BDP(B24,"INTERVAL_AVG","MARKET_DATA_OVERRIDE=PX_VOLUME","CALC_INTERVAL=3M","END_DATE_OVERRIDE="&amp;TEXT(AsOfDate,"YYYYMMDD")))</f>
        <v>2007675.1818181821</v>
      </c>
      <c r="D24" s="17" cm="1">
        <f t="array" ref="D24">IF(LEFT(_xll.BDH($B24, D$4, AsOfDate), 4) = "#N/A", "", _xll.BDH($B24, D$4, AsOfDate))</f>
        <v>1033454</v>
      </c>
      <c r="E24" s="17">
        <f t="shared" si="1"/>
        <v>200767.51818181822</v>
      </c>
      <c r="F24" s="17">
        <v>10000</v>
      </c>
      <c r="G24" s="17">
        <v>0</v>
      </c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</row>
    <row r="25" spans="2:18" x14ac:dyDescent="0.35">
      <c r="B25" s="12" t="s">
        <v>64</v>
      </c>
      <c r="C25" s="13" cm="1">
        <f t="array" ref="C25">IF(LEFT((_xll.BDP(B25,"INTERVAL_AVG","MARKET_DATA_OVERRIDE=PX_VOLUME","CALC_INTERVAL=3M","END_DATE_OVERRIDE="&amp;TEXT(AsOfDate,"YYYYMMDD"))),4)="#N/A","",_xll.BDP(B25,"INTERVAL_AVG","MARKET_DATA_OVERRIDE=PX_VOLUME","CALC_INTERVAL=3M","END_DATE_OVERRIDE="&amp;TEXT(AsOfDate,"YYYYMMDD")))</f>
        <v>562314.27272727282</v>
      </c>
      <c r="D25" s="14" cm="1">
        <f t="array" ref="D25">IF(LEFT(_xll.BDH($B25, D$4, AsOfDate), 4) = "#N/A", "", _xll.BDH($B25, D$4, AsOfDate))</f>
        <v>545373</v>
      </c>
      <c r="E25" s="14">
        <f t="shared" si="1"/>
        <v>56231.427272727284</v>
      </c>
      <c r="F25" s="14">
        <v>10000</v>
      </c>
      <c r="G25" s="14">
        <v>0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35">
      <c r="B26" s="15" t="s">
        <v>29</v>
      </c>
      <c r="C26" s="16" cm="1">
        <f t="array" ref="C26">IF(LEFT((_xll.BDP(B26,"INTERVAL_AVG","MARKET_DATA_OVERRIDE=PX_VOLUME","CALC_INTERVAL=3M","END_DATE_OVERRIDE="&amp;TEXT(AsOfDate,"YYYYMMDD"))),4)="#N/A","",_xll.BDP(B26,"INTERVAL_AVG","MARKET_DATA_OVERRIDE=PX_VOLUME","CALC_INTERVAL=3M","END_DATE_OVERRIDE="&amp;TEXT(AsOfDate,"YYYYMMDD")))</f>
        <v>202749.21212121213</v>
      </c>
      <c r="D26" s="17" cm="1">
        <f t="array" ref="D26">IF(LEFT(_xll.BDH($B26, D$4, AsOfDate), 4) = "#N/A", "", _xll.BDH($B26, D$4, AsOfDate))</f>
        <v>143402</v>
      </c>
      <c r="E26" s="17">
        <f t="shared" si="1"/>
        <v>20274.921212121215</v>
      </c>
      <c r="F26" s="17">
        <v>80000</v>
      </c>
      <c r="G26" s="17">
        <v>59725.078787878781</v>
      </c>
      <c r="H26" s="17">
        <v>39450.157575757563</v>
      </c>
      <c r="I26" s="17">
        <v>19175.236363636348</v>
      </c>
      <c r="J26" s="17">
        <v>0</v>
      </c>
      <c r="K26" s="17"/>
      <c r="L26" s="17"/>
      <c r="M26" s="17"/>
      <c r="N26" s="17"/>
      <c r="O26" s="17"/>
      <c r="P26" s="17"/>
      <c r="Q26" s="17"/>
      <c r="R26" s="17"/>
    </row>
    <row r="27" spans="2:18" x14ac:dyDescent="0.35">
      <c r="B27" s="12" t="s">
        <v>4</v>
      </c>
      <c r="C27" s="13" cm="1">
        <f t="array" ref="C27">IF(LEFT((_xll.BDP(B27,"INTERVAL_AVG","MARKET_DATA_OVERRIDE=PX_VOLUME","CALC_INTERVAL=3M","END_DATE_OVERRIDE="&amp;TEXT(AsOfDate,"YYYYMMDD"))),4)="#N/A","",_xll.BDP(B27,"INTERVAL_AVG","MARKET_DATA_OVERRIDE=PX_VOLUME","CALC_INTERVAL=3M","END_DATE_OVERRIDE="&amp;TEXT(AsOfDate,"YYYYMMDD")))</f>
        <v>381894.90909090923</v>
      </c>
      <c r="D27" s="14" cm="1">
        <f t="array" ref="D27">IF(LEFT(_xll.BDH($B27, D$4, AsOfDate), 4) = "#N/A", "", _xll.BDH($B27, D$4, AsOfDate))</f>
        <v>265654</v>
      </c>
      <c r="E27" s="14">
        <f t="shared" si="1"/>
        <v>38189.490909090928</v>
      </c>
      <c r="F27" s="14">
        <v>141576</v>
      </c>
      <c r="G27" s="14">
        <v>103386.50909090906</v>
      </c>
      <c r="H27" s="14">
        <v>65197.018181818137</v>
      </c>
      <c r="I27" s="14">
        <v>27007.527272727209</v>
      </c>
      <c r="J27" s="14">
        <v>0</v>
      </c>
      <c r="K27" s="14"/>
      <c r="L27" s="14"/>
      <c r="M27" s="14"/>
      <c r="N27" s="14"/>
      <c r="O27" s="14"/>
      <c r="P27" s="14"/>
      <c r="Q27" s="14"/>
      <c r="R27" s="14"/>
    </row>
    <row r="28" spans="2:18" x14ac:dyDescent="0.35">
      <c r="B28" s="15" t="s">
        <v>30</v>
      </c>
      <c r="C28" s="16" cm="1">
        <f t="array" ref="C28">IF(LEFT((_xll.BDP(B28,"INTERVAL_AVG","MARKET_DATA_OVERRIDE=PX_VOLUME","CALC_INTERVAL=3M","END_DATE_OVERRIDE="&amp;TEXT(AsOfDate,"YYYYMMDD"))),4)="#N/A","",_xll.BDP(B28,"INTERVAL_AVG","MARKET_DATA_OVERRIDE=PX_VOLUME","CALC_INTERVAL=3M","END_DATE_OVERRIDE="&amp;TEXT(AsOfDate,"YYYYMMDD")))</f>
        <v>350801.57575757563</v>
      </c>
      <c r="D28" s="17" cm="1">
        <f t="array" ref="D28">IF(LEFT(_xll.BDH($B28, D$4, AsOfDate), 4) = "#N/A", "", _xll.BDH($B28, D$4, AsOfDate))</f>
        <v>166230</v>
      </c>
      <c r="E28" s="17">
        <f t="shared" si="1"/>
        <v>35080.157575757563</v>
      </c>
      <c r="F28" s="17">
        <v>30000</v>
      </c>
      <c r="G28" s="17">
        <v>0</v>
      </c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</row>
    <row r="29" spans="2:18" x14ac:dyDescent="0.35">
      <c r="B29" s="12" t="s">
        <v>44</v>
      </c>
      <c r="C29" s="13" cm="1">
        <f t="array" ref="C29">IF(LEFT((_xll.BDP(B29,"INTERVAL_AVG","MARKET_DATA_OVERRIDE=PX_VOLUME","CALC_INTERVAL=3M","END_DATE_OVERRIDE="&amp;TEXT(AsOfDate,"YYYYMMDD"))),4)="#N/A","",_xll.BDP(B29,"INTERVAL_AVG","MARKET_DATA_OVERRIDE=PX_VOLUME","CALC_INTERVAL=3M","END_DATE_OVERRIDE="&amp;TEXT(AsOfDate,"YYYYMMDD")))</f>
        <v>671563.21212121227</v>
      </c>
      <c r="D29" s="14" cm="1">
        <f t="array" ref="D29">IF(LEFT(_xll.BDH($B29, D$4, AsOfDate), 4) = "#N/A", "", _xll.BDH($B29, D$4, AsOfDate))</f>
        <v>547946</v>
      </c>
      <c r="E29" s="14">
        <f t="shared" si="1"/>
        <v>67156.321212121227</v>
      </c>
      <c r="F29" s="14">
        <v>89790</v>
      </c>
      <c r="G29" s="14">
        <v>22633.678787878773</v>
      </c>
      <c r="H29" s="14">
        <v>0</v>
      </c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2:18" x14ac:dyDescent="0.35">
      <c r="B30" s="15" t="s">
        <v>45</v>
      </c>
      <c r="C30" s="16" cm="1">
        <f t="array" ref="C30">IF(LEFT((_xll.BDP(B30,"INTERVAL_AVG","MARKET_DATA_OVERRIDE=PX_VOLUME","CALC_INTERVAL=3M","END_DATE_OVERRIDE="&amp;TEXT(AsOfDate,"YYYYMMDD"))),4)="#N/A","",_xll.BDP(B30,"INTERVAL_AVG","MARKET_DATA_OVERRIDE=PX_VOLUME","CALC_INTERVAL=3M","END_DATE_OVERRIDE="&amp;TEXT(AsOfDate,"YYYYMMDD")))</f>
        <v>920786.40909090871</v>
      </c>
      <c r="D30" s="17" cm="1">
        <f t="array" ref="D30">IF(LEFT(_xll.BDH($B30, D$4, AsOfDate), 4) = "#N/A", "", _xll.BDH($B30, D$4, AsOfDate))</f>
        <v>717025</v>
      </c>
      <c r="E30" s="17">
        <f t="shared" si="1"/>
        <v>92078.640909090871</v>
      </c>
      <c r="F30" s="17">
        <v>386985</v>
      </c>
      <c r="G30" s="17">
        <v>294906.35909090913</v>
      </c>
      <c r="H30" s="17">
        <v>202827.71818181826</v>
      </c>
      <c r="I30" s="17">
        <v>110749.07727272739</v>
      </c>
      <c r="J30" s="17">
        <v>18670.436363636516</v>
      </c>
      <c r="K30" s="17">
        <v>0</v>
      </c>
      <c r="L30" s="17"/>
      <c r="M30" s="17"/>
      <c r="N30" s="17"/>
      <c r="O30" s="17"/>
      <c r="P30" s="17"/>
      <c r="Q30" s="17"/>
      <c r="R30" s="17"/>
    </row>
    <row r="31" spans="2:18" x14ac:dyDescent="0.35">
      <c r="B31" s="12" t="s">
        <v>39</v>
      </c>
      <c r="C31" s="13" cm="1">
        <f t="array" ref="C31">IF(LEFT((_xll.BDP(B31,"INTERVAL_AVG","MARKET_DATA_OVERRIDE=PX_VOLUME","CALC_INTERVAL=3M","END_DATE_OVERRIDE="&amp;TEXT(AsOfDate,"YYYYMMDD"))),4)="#N/A","",_xll.BDP(B31,"INTERVAL_AVG","MARKET_DATA_OVERRIDE=PX_VOLUME","CALC_INTERVAL=3M","END_DATE_OVERRIDE="&amp;TEXT(AsOfDate,"YYYYMMDD")))</f>
        <v>566904.34848484839</v>
      </c>
      <c r="D31" s="14" cm="1">
        <f t="array" ref="D31">IF(LEFT(_xll.BDH($B31, D$4, AsOfDate), 4) = "#N/A", "", _xll.BDH($B31, D$4, AsOfDate))</f>
        <v>720349</v>
      </c>
      <c r="E31" s="14">
        <f t="shared" si="1"/>
        <v>56690.434848484845</v>
      </c>
      <c r="F31" s="14">
        <v>50000</v>
      </c>
      <c r="G31" s="14"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2:18" x14ac:dyDescent="0.35">
      <c r="B32" s="15" t="s">
        <v>50</v>
      </c>
      <c r="C32" s="16" cm="1">
        <f t="array" ref="C32">IF(LEFT((_xll.BDP(B32,"INTERVAL_AVG","MARKET_DATA_OVERRIDE=PX_VOLUME","CALC_INTERVAL=3M","END_DATE_OVERRIDE="&amp;TEXT(AsOfDate,"YYYYMMDD"))),4)="#N/A","",_xll.BDP(B32,"INTERVAL_AVG","MARKET_DATA_OVERRIDE=PX_VOLUME","CALC_INTERVAL=3M","END_DATE_OVERRIDE="&amp;TEXT(AsOfDate,"YYYYMMDD")))</f>
        <v>890856.07575757569</v>
      </c>
      <c r="D32" s="17" cm="1">
        <f t="array" ref="D32">IF(LEFT(_xll.BDH($B32, D$4, AsOfDate), 4) = "#N/A", "", _xll.BDH($B32, D$4, AsOfDate))</f>
        <v>408136</v>
      </c>
      <c r="E32" s="17">
        <f t="shared" si="1"/>
        <v>89085.607575757575</v>
      </c>
      <c r="F32" s="17">
        <v>384215</v>
      </c>
      <c r="G32" s="17">
        <v>295129.39242424245</v>
      </c>
      <c r="H32" s="17">
        <v>206043.78484848488</v>
      </c>
      <c r="I32" s="17">
        <v>116958.17727272731</v>
      </c>
      <c r="J32" s="17">
        <v>27872.569696969731</v>
      </c>
      <c r="K32" s="17">
        <v>0</v>
      </c>
      <c r="L32" s="17"/>
      <c r="M32" s="17"/>
      <c r="N32" s="17"/>
      <c r="O32" s="17"/>
      <c r="P32" s="17"/>
      <c r="Q32" s="17"/>
      <c r="R32" s="17"/>
    </row>
    <row r="33" spans="2:18" x14ac:dyDescent="0.35">
      <c r="B33" s="12" t="s">
        <v>54</v>
      </c>
      <c r="C33" s="13" cm="1">
        <f t="array" ref="C33">IF(LEFT((_xll.BDP(B33,"INTERVAL_AVG","MARKET_DATA_OVERRIDE=PX_VOLUME","CALC_INTERVAL=3M","END_DATE_OVERRIDE="&amp;TEXT(AsOfDate,"YYYYMMDD"))),4)="#N/A","",_xll.BDP(B33,"INTERVAL_AVG","MARKET_DATA_OVERRIDE=PX_VOLUME","CALC_INTERVAL=3M","END_DATE_OVERRIDE="&amp;TEXT(AsOfDate,"YYYYMMDD")))</f>
        <v>598603.77272727294</v>
      </c>
      <c r="D33" s="14" cm="1">
        <f t="array" ref="D33">IF(LEFT(_xll.BDH($B33, D$4, AsOfDate), 4) = "#N/A", "", _xll.BDH($B33, D$4, AsOfDate))</f>
        <v>248163</v>
      </c>
      <c r="E33" s="14">
        <f t="shared" si="1"/>
        <v>59860.377272727295</v>
      </c>
      <c r="F33" s="14">
        <v>321494</v>
      </c>
      <c r="G33" s="14">
        <v>261633.62272727271</v>
      </c>
      <c r="H33" s="14">
        <v>201773.24545454542</v>
      </c>
      <c r="I33" s="14">
        <v>141912.86818181814</v>
      </c>
      <c r="J33" s="14">
        <v>82052.490909090848</v>
      </c>
      <c r="K33" s="14">
        <v>22192.113636363552</v>
      </c>
      <c r="L33" s="14">
        <v>0</v>
      </c>
      <c r="M33" s="14"/>
      <c r="N33" s="14"/>
      <c r="O33" s="14"/>
      <c r="P33" s="14"/>
      <c r="Q33" s="14"/>
      <c r="R33" s="14"/>
    </row>
    <row r="34" spans="2:18" x14ac:dyDescent="0.35">
      <c r="B34" s="15" t="s">
        <v>66</v>
      </c>
      <c r="C34" s="16" cm="1">
        <f t="array" ref="C34">IF(LEFT((_xll.BDP(B34,"INTERVAL_AVG","MARKET_DATA_OVERRIDE=PX_VOLUME","CALC_INTERVAL=3M","END_DATE_OVERRIDE="&amp;TEXT(AsOfDate,"YYYYMMDD"))),4)="#N/A","",_xll.BDP(B34,"INTERVAL_AVG","MARKET_DATA_OVERRIDE=PX_VOLUME","CALC_INTERVAL=3M","END_DATE_OVERRIDE="&amp;TEXT(AsOfDate,"YYYYMMDD")))</f>
        <v>33484.121212121223</v>
      </c>
      <c r="D34" s="17" cm="1">
        <f t="array" ref="D34">IF(LEFT(_xll.BDH($B34, D$4, AsOfDate), 4) = "#N/A", "", _xll.BDH($B34, D$4, AsOfDate))</f>
        <v>58655</v>
      </c>
      <c r="E34" s="17">
        <f t="shared" si="1"/>
        <v>3348.4121212121227</v>
      </c>
      <c r="F34" s="17">
        <v>31557</v>
      </c>
      <c r="G34" s="17">
        <v>28208.587878787876</v>
      </c>
      <c r="H34" s="17">
        <v>24860.175757575751</v>
      </c>
      <c r="I34" s="17">
        <v>21511.763636363627</v>
      </c>
      <c r="J34" s="17">
        <v>18163.351515151502</v>
      </c>
      <c r="K34" s="17">
        <v>14814.939393939379</v>
      </c>
      <c r="L34" s="17">
        <v>0</v>
      </c>
      <c r="M34" s="17"/>
      <c r="N34" s="17"/>
      <c r="O34" s="17"/>
      <c r="P34" s="17"/>
      <c r="Q34" s="17"/>
      <c r="R34" s="17"/>
    </row>
    <row r="35" spans="2:18" x14ac:dyDescent="0.35">
      <c r="B35" s="12" t="s">
        <v>66</v>
      </c>
      <c r="C35" s="13" cm="1">
        <f t="array" ref="C35">IF(LEFT((_xll.BDP(B35,"INTERVAL_AVG","MARKET_DATA_OVERRIDE=PX_VOLUME","CALC_INTERVAL=3M","END_DATE_OVERRIDE="&amp;TEXT(AsOfDate,"YYYYMMDD"))),4)="#N/A","",_xll.BDP(B35,"INTERVAL_AVG","MARKET_DATA_OVERRIDE=PX_VOLUME","CALC_INTERVAL=3M","END_DATE_OVERRIDE="&amp;TEXT(AsOfDate,"YYYYMMDD")))</f>
        <v>33484.121212121223</v>
      </c>
      <c r="D35" s="14" cm="1">
        <f t="array" ref="D35">IF(LEFT(_xll.BDH($B35, D$4, AsOfDate), 4) = "#N/A", "", _xll.BDH($B35, D$4, AsOfDate))</f>
        <v>58655</v>
      </c>
      <c r="E35" s="14">
        <f t="shared" si="1"/>
        <v>3348.4121212121227</v>
      </c>
      <c r="F35" s="14">
        <v>12000</v>
      </c>
      <c r="G35" s="14">
        <v>8651.5878787878773</v>
      </c>
      <c r="H35" s="14">
        <v>5303.1757575757547</v>
      </c>
      <c r="I35" s="14">
        <v>1954.763636363632</v>
      </c>
      <c r="J35" s="14">
        <v>0</v>
      </c>
      <c r="K35" s="14"/>
      <c r="L35" s="14"/>
      <c r="M35" s="14"/>
      <c r="N35" s="14"/>
      <c r="O35" s="14"/>
      <c r="P35" s="14"/>
      <c r="Q35" s="14"/>
      <c r="R35" s="14"/>
    </row>
    <row r="36" spans="2:18" x14ac:dyDescent="0.35">
      <c r="B36" s="15" t="s">
        <v>55</v>
      </c>
      <c r="C36" s="16" cm="1">
        <f t="array" ref="C36">IF(LEFT((_xll.BDP(B36,"INTERVAL_AVG","MARKET_DATA_OVERRIDE=PX_VOLUME","CALC_INTERVAL=3M","END_DATE_OVERRIDE="&amp;TEXT(AsOfDate,"YYYYMMDD"))),4)="#N/A","",_xll.BDP(B36,"INTERVAL_AVG","MARKET_DATA_OVERRIDE=PX_VOLUME","CALC_INTERVAL=3M","END_DATE_OVERRIDE="&amp;TEXT(AsOfDate,"YYYYMMDD")))</f>
        <v>223526.25757575757</v>
      </c>
      <c r="D36" s="17" cm="1">
        <f t="array" ref="D36">IF(LEFT(_xll.BDH($B36, D$4, AsOfDate), 4) = "#N/A", "", _xll.BDH($B36, D$4, AsOfDate))</f>
        <v>140059</v>
      </c>
      <c r="E36" s="17">
        <f t="shared" si="1"/>
        <v>22352.625757575759</v>
      </c>
      <c r="F36" s="17">
        <v>280000</v>
      </c>
      <c r="G36" s="17">
        <v>257647.37424242424</v>
      </c>
      <c r="H36" s="17">
        <v>235294.74848484847</v>
      </c>
      <c r="I36" s="17">
        <v>212942.12272727271</v>
      </c>
      <c r="J36" s="17">
        <v>190589.49696969695</v>
      </c>
      <c r="K36" s="17">
        <v>168236.87121212119</v>
      </c>
      <c r="L36" s="17">
        <v>56473.742424242373</v>
      </c>
      <c r="M36" s="17">
        <v>0</v>
      </c>
      <c r="N36" s="17"/>
      <c r="O36" s="17"/>
      <c r="P36" s="17"/>
      <c r="Q36" s="17"/>
      <c r="R36" s="17"/>
    </row>
    <row r="37" spans="2:18" x14ac:dyDescent="0.35">
      <c r="B37" s="12" t="s">
        <v>46</v>
      </c>
      <c r="C37" s="13" cm="1">
        <f t="array" ref="C37">IF(LEFT((_xll.BDP(B37,"INTERVAL_AVG","MARKET_DATA_OVERRIDE=PX_VOLUME","CALC_INTERVAL=3M","END_DATE_OVERRIDE="&amp;TEXT(AsOfDate,"YYYYMMDD"))),4)="#N/A","",_xll.BDP(B37,"INTERVAL_AVG","MARKET_DATA_OVERRIDE=PX_VOLUME","CALC_INTERVAL=3M","END_DATE_OVERRIDE="&amp;TEXT(AsOfDate,"YYYYMMDD")))</f>
        <v>798365.03030303016</v>
      </c>
      <c r="D37" s="14" cm="1">
        <f t="array" ref="D37">IF(LEFT(_xll.BDH($B37, D$4, AsOfDate), 4) = "#N/A", "", _xll.BDH($B37, D$4, AsOfDate))</f>
        <v>402019</v>
      </c>
      <c r="E37" s="14">
        <f t="shared" ref="E37:E68" si="2">IF(C37 = "", "", C37*PctDailyVol)</f>
        <v>79836.503030303022</v>
      </c>
      <c r="F37" s="14">
        <v>50000</v>
      </c>
      <c r="G37" s="14">
        <v>0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2:18" x14ac:dyDescent="0.35">
      <c r="B38" s="15" t="s">
        <v>56</v>
      </c>
      <c r="C38" s="16" cm="1">
        <f t="array" ref="C38">IF(LEFT((_xll.BDP(B38,"INTERVAL_AVG","MARKET_DATA_OVERRIDE=PX_VOLUME","CALC_INTERVAL=3M","END_DATE_OVERRIDE="&amp;TEXT(AsOfDate,"YYYYMMDD"))),4)="#N/A","",_xll.BDP(B38,"INTERVAL_AVG","MARKET_DATA_OVERRIDE=PX_VOLUME","CALC_INTERVAL=3M","END_DATE_OVERRIDE="&amp;TEXT(AsOfDate,"YYYYMMDD")))</f>
        <v>157439.4242424242</v>
      </c>
      <c r="D38" s="17" cm="1">
        <f t="array" ref="D38">IF(LEFT(_xll.BDH($B38, D$4, AsOfDate), 4) = "#N/A", "", _xll.BDH($B38, D$4, AsOfDate))</f>
        <v>31310</v>
      </c>
      <c r="E38" s="17">
        <f t="shared" si="2"/>
        <v>15743.942424242421</v>
      </c>
      <c r="F38" s="17">
        <v>38395</v>
      </c>
      <c r="G38" s="17">
        <v>22651.057575757579</v>
      </c>
      <c r="H38" s="17">
        <v>6907.1151515151578</v>
      </c>
      <c r="I38" s="17">
        <v>0</v>
      </c>
      <c r="J38" s="17"/>
      <c r="K38" s="17"/>
      <c r="L38" s="17"/>
      <c r="M38" s="17"/>
      <c r="N38" s="17"/>
      <c r="O38" s="17"/>
      <c r="P38" s="17"/>
      <c r="Q38" s="17"/>
      <c r="R38" s="17"/>
    </row>
    <row r="39" spans="2:18" x14ac:dyDescent="0.35">
      <c r="B39" s="12" t="s">
        <v>57</v>
      </c>
      <c r="C39" s="13" cm="1">
        <f t="array" ref="C39">IF(LEFT((_xll.BDP(B39,"INTERVAL_AVG","MARKET_DATA_OVERRIDE=PX_VOLUME","CALC_INTERVAL=3M","END_DATE_OVERRIDE="&amp;TEXT(AsOfDate,"YYYYMMDD"))),4)="#N/A","",_xll.BDP(B39,"INTERVAL_AVG","MARKET_DATA_OVERRIDE=PX_VOLUME","CALC_INTERVAL=3M","END_DATE_OVERRIDE="&amp;TEXT(AsOfDate,"YYYYMMDD")))</f>
        <v>108625.81818181821</v>
      </c>
      <c r="D39" s="14" cm="1">
        <f t="array" ref="D39">IF(LEFT(_xll.BDH($B39, D$4, AsOfDate), 4) = "#N/A", "", _xll.BDH($B39, D$4, AsOfDate))</f>
        <v>70943</v>
      </c>
      <c r="E39" s="14">
        <f t="shared" si="2"/>
        <v>10862.581818181821</v>
      </c>
      <c r="F39" s="14">
        <v>47749</v>
      </c>
      <c r="G39" s="14">
        <v>36886.418181818182</v>
      </c>
      <c r="H39" s="14">
        <v>26023.836363636361</v>
      </c>
      <c r="I39" s="14">
        <v>15161.25454545454</v>
      </c>
      <c r="J39" s="14">
        <v>4298.6727272727185</v>
      </c>
      <c r="K39" s="14">
        <v>0</v>
      </c>
      <c r="L39" s="14"/>
      <c r="M39" s="14"/>
      <c r="N39" s="14"/>
      <c r="O39" s="14"/>
      <c r="P39" s="14"/>
      <c r="Q39" s="14"/>
      <c r="R39" s="14"/>
    </row>
    <row r="40" spans="2:18" x14ac:dyDescent="0.35">
      <c r="B40" s="15" t="s">
        <v>31</v>
      </c>
      <c r="C40" s="16" cm="1">
        <f t="array" ref="C40">IF(LEFT((_xll.BDP(B40,"INTERVAL_AVG","MARKET_DATA_OVERRIDE=PX_VOLUME","CALC_INTERVAL=3M","END_DATE_OVERRIDE="&amp;TEXT(AsOfDate,"YYYYMMDD"))),4)="#N/A","",_xll.BDP(B40,"INTERVAL_AVG","MARKET_DATA_OVERRIDE=PX_VOLUME","CALC_INTERVAL=3M","END_DATE_OVERRIDE="&amp;TEXT(AsOfDate,"YYYYMMDD")))</f>
        <v>73683.772727272735</v>
      </c>
      <c r="D40" s="17" cm="1">
        <f t="array" ref="D40">IF(LEFT(_xll.BDH($B40, D$4, AsOfDate), 4) = "#N/A", "", _xll.BDH($B40, D$4, AsOfDate))</f>
        <v>25597</v>
      </c>
      <c r="E40" s="17">
        <f t="shared" si="2"/>
        <v>7368.3772727272735</v>
      </c>
      <c r="F40" s="17">
        <v>1057041</v>
      </c>
      <c r="G40" s="17">
        <v>1049672.6227272728</v>
      </c>
      <c r="H40" s="17">
        <v>1042304.2454545455</v>
      </c>
      <c r="I40" s="17">
        <v>1034935.8681818182</v>
      </c>
      <c r="J40" s="17">
        <v>1027567.4909090908</v>
      </c>
      <c r="K40" s="17">
        <v>1020199.1136363635</v>
      </c>
      <c r="L40" s="17">
        <v>983357.22727272694</v>
      </c>
      <c r="M40" s="17">
        <v>946515.34090909036</v>
      </c>
      <c r="N40" s="17">
        <v>902305.07727272646</v>
      </c>
      <c r="O40" s="17">
        <v>747569.15454545279</v>
      </c>
      <c r="P40" s="17">
        <v>592833.23181817913</v>
      </c>
      <c r="Q40" s="17">
        <v>128625.46363636128</v>
      </c>
      <c r="R40" s="17">
        <v>0</v>
      </c>
    </row>
    <row r="41" spans="2:18" x14ac:dyDescent="0.35">
      <c r="B41" s="12" t="s">
        <v>32</v>
      </c>
      <c r="C41" s="13" cm="1">
        <f t="array" ref="C41">IF(LEFT((_xll.BDP(B41,"INTERVAL_AVG","MARKET_DATA_OVERRIDE=PX_VOLUME","CALC_INTERVAL=3M","END_DATE_OVERRIDE="&amp;TEXT(AsOfDate,"YYYYMMDD"))),4)="#N/A","",_xll.BDP(B41,"INTERVAL_AVG","MARKET_DATA_OVERRIDE=PX_VOLUME","CALC_INTERVAL=3M","END_DATE_OVERRIDE="&amp;TEXT(AsOfDate,"YYYYMMDD")))</f>
        <v>225208.74242424246</v>
      </c>
      <c r="D41" s="14" cm="1">
        <f t="array" ref="D41">IF(LEFT(_xll.BDH($B41, D$4, AsOfDate), 4) = "#N/A", "", _xll.BDH($B41, D$4, AsOfDate))</f>
        <v>147863</v>
      </c>
      <c r="E41" s="14">
        <f t="shared" si="2"/>
        <v>22520.874242424248</v>
      </c>
      <c r="F41" s="14">
        <v>257493</v>
      </c>
      <c r="G41" s="14">
        <v>234972.12575757576</v>
      </c>
      <c r="H41" s="14">
        <v>212451.25151515153</v>
      </c>
      <c r="I41" s="14">
        <v>189930.37727272729</v>
      </c>
      <c r="J41" s="14">
        <v>167409.50303030305</v>
      </c>
      <c r="K41" s="14">
        <v>144888.62878787881</v>
      </c>
      <c r="L41" s="14">
        <v>32284.257575757558</v>
      </c>
      <c r="M41" s="14">
        <v>0</v>
      </c>
      <c r="N41" s="14"/>
      <c r="O41" s="14"/>
      <c r="P41" s="14"/>
      <c r="Q41" s="14"/>
      <c r="R41" s="14"/>
    </row>
    <row r="42" spans="2:18" x14ac:dyDescent="0.35">
      <c r="B42" s="15" t="s">
        <v>33</v>
      </c>
      <c r="C42" s="16" cm="1">
        <f t="array" ref="C42">IF(LEFT((_xll.BDP(B42,"INTERVAL_AVG","MARKET_DATA_OVERRIDE=PX_VOLUME","CALC_INTERVAL=3M","END_DATE_OVERRIDE="&amp;TEXT(AsOfDate,"YYYYMMDD"))),4)="#N/A","",_xll.BDP(B42,"INTERVAL_AVG","MARKET_DATA_OVERRIDE=PX_VOLUME","CALC_INTERVAL=3M","END_DATE_OVERRIDE="&amp;TEXT(AsOfDate,"YYYYMMDD")))</f>
        <v>1476663.4999999998</v>
      </c>
      <c r="D42" s="17" cm="1">
        <f t="array" ref="D42">IF(LEFT(_xll.BDH($B42, D$4, AsOfDate), 4) = "#N/A", "", _xll.BDH($B42, D$4, AsOfDate))</f>
        <v>593278</v>
      </c>
      <c r="E42" s="17">
        <f t="shared" si="2"/>
        <v>147666.34999999998</v>
      </c>
      <c r="F42" s="17">
        <v>185000</v>
      </c>
      <c r="G42" s="17">
        <v>37333.650000000023</v>
      </c>
      <c r="H42" s="17">
        <v>0</v>
      </c>
      <c r="I42" s="17"/>
      <c r="J42" s="17"/>
      <c r="K42" s="17"/>
      <c r="L42" s="17"/>
      <c r="M42" s="17"/>
      <c r="N42" s="17"/>
      <c r="O42" s="17"/>
      <c r="P42" s="17"/>
      <c r="Q42" s="17"/>
      <c r="R42" s="17"/>
    </row>
    <row r="43" spans="2:18" x14ac:dyDescent="0.35">
      <c r="B43" s="12" t="s">
        <v>34</v>
      </c>
      <c r="C43" s="13" cm="1">
        <f t="array" ref="C43">IF(LEFT((_xll.BDP(B43,"INTERVAL_AVG","MARKET_DATA_OVERRIDE=PX_VOLUME","CALC_INTERVAL=3M","END_DATE_OVERRIDE="&amp;TEXT(AsOfDate,"YYYYMMDD"))),4)="#N/A","",_xll.BDP(B43,"INTERVAL_AVG","MARKET_DATA_OVERRIDE=PX_VOLUME","CALC_INTERVAL=3M","END_DATE_OVERRIDE="&amp;TEXT(AsOfDate,"YYYYMMDD")))</f>
        <v>369144.0757575758</v>
      </c>
      <c r="D43" s="14" cm="1">
        <f t="array" ref="D43">IF(LEFT(_xll.BDH($B43, D$4, AsOfDate), 4) = "#N/A", "", _xll.BDH($B43, D$4, AsOfDate))</f>
        <v>402762</v>
      </c>
      <c r="E43" s="14">
        <f t="shared" si="2"/>
        <v>36914.407575757585</v>
      </c>
      <c r="F43" s="14">
        <v>55000</v>
      </c>
      <c r="G43" s="14">
        <v>18085.592424242415</v>
      </c>
      <c r="H43" s="14">
        <v>0</v>
      </c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2:18" x14ac:dyDescent="0.35">
      <c r="B44" s="15" t="s">
        <v>5</v>
      </c>
      <c r="C44" s="16" cm="1">
        <f t="array" ref="C44">IF(LEFT((_xll.BDP(B44,"INTERVAL_AVG","MARKET_DATA_OVERRIDE=PX_VOLUME","CALC_INTERVAL=3M","END_DATE_OVERRIDE="&amp;TEXT(AsOfDate,"YYYYMMDD"))),4)="#N/A","",_xll.BDP(B44,"INTERVAL_AVG","MARKET_DATA_OVERRIDE=PX_VOLUME","CALC_INTERVAL=3M","END_DATE_OVERRIDE="&amp;TEXT(AsOfDate,"YYYYMMDD")))</f>
        <v>469611.12121212116</v>
      </c>
      <c r="D44" s="17" cm="1">
        <f t="array" ref="D44">IF(LEFT(_xll.BDH($B44, D$4, AsOfDate), 4) = "#N/A", "", _xll.BDH($B44, D$4, AsOfDate))</f>
        <v>139591</v>
      </c>
      <c r="E44" s="17">
        <f t="shared" si="2"/>
        <v>46961.112121212122</v>
      </c>
      <c r="F44" s="17">
        <v>1991349</v>
      </c>
      <c r="G44" s="17">
        <v>1944387.8878787879</v>
      </c>
      <c r="H44" s="17">
        <v>1897426.7757575759</v>
      </c>
      <c r="I44" s="17">
        <v>1850465.6636363638</v>
      </c>
      <c r="J44" s="17">
        <v>1803504.5515151517</v>
      </c>
      <c r="K44" s="17">
        <v>1756543.4393939397</v>
      </c>
      <c r="L44" s="17">
        <v>1521737.8787878794</v>
      </c>
      <c r="M44" s="17">
        <v>1286932.318181819</v>
      </c>
      <c r="N44" s="17">
        <v>1005165.6454545467</v>
      </c>
      <c r="O44" s="17">
        <v>18982.290909092699</v>
      </c>
      <c r="P44" s="17">
        <v>0</v>
      </c>
      <c r="Q44" s="17"/>
      <c r="R44" s="17"/>
    </row>
    <row r="45" spans="2:18" x14ac:dyDescent="0.35">
      <c r="B45" s="12" t="s">
        <v>67</v>
      </c>
      <c r="C45" s="13" cm="1">
        <f t="array" ref="C45">IF(LEFT((_xll.BDP(B45,"INTERVAL_AVG","MARKET_DATA_OVERRIDE=PX_VOLUME","CALC_INTERVAL=3M","END_DATE_OVERRIDE="&amp;TEXT(AsOfDate,"YYYYMMDD"))),4)="#N/A","",_xll.BDP(B45,"INTERVAL_AVG","MARKET_DATA_OVERRIDE=PX_VOLUME","CALC_INTERVAL=3M","END_DATE_OVERRIDE="&amp;TEXT(AsOfDate,"YYYYMMDD")))</f>
        <v>2373060.9090909092</v>
      </c>
      <c r="D45" s="14" cm="1">
        <f t="array" ref="D45">IF(LEFT(_xll.BDH($B45, D$4, AsOfDate), 4) = "#N/A", "", _xll.BDH($B45, D$4, AsOfDate))</f>
        <v>4310122</v>
      </c>
      <c r="E45" s="14">
        <f t="shared" si="2"/>
        <v>237306.09090909094</v>
      </c>
      <c r="F45" s="14">
        <v>20000</v>
      </c>
      <c r="G45" s="14"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2:18" x14ac:dyDescent="0.35">
      <c r="B46" s="15" t="s">
        <v>3</v>
      </c>
      <c r="C46" s="16" cm="1">
        <f t="array" ref="C46">IF(LEFT((_xll.BDP(B46,"INTERVAL_AVG","MARKET_DATA_OVERRIDE=PX_VOLUME","CALC_INTERVAL=3M","END_DATE_OVERRIDE="&amp;TEXT(AsOfDate,"YYYYMMDD"))),4)="#N/A","",_xll.BDP(B46,"INTERVAL_AVG","MARKET_DATA_OVERRIDE=PX_VOLUME","CALC_INTERVAL=3M","END_DATE_OVERRIDE="&amp;TEXT(AsOfDate,"YYYYMMDD")))</f>
        <v>1135428.2272727271</v>
      </c>
      <c r="D46" s="17" cm="1">
        <f t="array" ref="D46">IF(LEFT(_xll.BDH($B46, D$4, AsOfDate), 4) = "#N/A", "", _xll.BDH($B46, D$4, AsOfDate))</f>
        <v>604084</v>
      </c>
      <c r="E46" s="17">
        <f t="shared" si="2"/>
        <v>113542.82272727271</v>
      </c>
      <c r="F46" s="17">
        <v>-611524</v>
      </c>
      <c r="G46" s="17">
        <v>-497981.17727272731</v>
      </c>
      <c r="H46" s="17">
        <v>-384438.35454545461</v>
      </c>
      <c r="I46" s="17">
        <v>-270895.53181818192</v>
      </c>
      <c r="J46" s="17">
        <v>-157352.70909090922</v>
      </c>
      <c r="K46" s="17">
        <v>-43809.886363636513</v>
      </c>
      <c r="L46" s="17">
        <v>0</v>
      </c>
      <c r="M46" s="17"/>
      <c r="N46" s="17"/>
      <c r="O46" s="17"/>
      <c r="P46" s="17"/>
      <c r="Q46" s="17"/>
      <c r="R46" s="17"/>
    </row>
    <row r="47" spans="2:18" x14ac:dyDescent="0.35">
      <c r="B47" s="12" t="s">
        <v>68</v>
      </c>
      <c r="C47" s="13" cm="1">
        <f t="array" ref="C47">IF(LEFT((_xll.BDP(B47,"INTERVAL_AVG","MARKET_DATA_OVERRIDE=PX_VOLUME","CALC_INTERVAL=3M","END_DATE_OVERRIDE="&amp;TEXT(AsOfDate,"YYYYMMDD"))),4)="#N/A","",_xll.BDP(B47,"INTERVAL_AVG","MARKET_DATA_OVERRIDE=PX_VOLUME","CALC_INTERVAL=3M","END_DATE_OVERRIDE="&amp;TEXT(AsOfDate,"YYYYMMDD")))</f>
        <v>238039.24242424243</v>
      </c>
      <c r="D47" s="14" cm="1">
        <f t="array" ref="D47">IF(LEFT(_xll.BDH($B47, D$4, AsOfDate), 4) = "#N/A", "", _xll.BDH($B47, D$4, AsOfDate))</f>
        <v>365456</v>
      </c>
      <c r="E47" s="14">
        <f t="shared" si="2"/>
        <v>23803.924242424244</v>
      </c>
      <c r="F47" s="14">
        <v>2500</v>
      </c>
      <c r="G47" s="14">
        <v>0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</row>
    <row r="48" spans="2:18" x14ac:dyDescent="0.35">
      <c r="B48" s="15" t="s">
        <v>69</v>
      </c>
      <c r="C48" s="16" cm="1">
        <f t="array" ref="C48">IF(LEFT((_xll.BDP(B48,"INTERVAL_AVG","MARKET_DATA_OVERRIDE=PX_VOLUME","CALC_INTERVAL=3M","END_DATE_OVERRIDE="&amp;TEXT(AsOfDate,"YYYYMMDD"))),4)="#N/A","",_xll.BDP(B48,"INTERVAL_AVG","MARKET_DATA_OVERRIDE=PX_VOLUME","CALC_INTERVAL=3M","END_DATE_OVERRIDE="&amp;TEXT(AsOfDate,"YYYYMMDD")))</f>
        <v>4903838.6212121202</v>
      </c>
      <c r="D48" s="17" cm="1">
        <f t="array" ref="D48">IF(LEFT(_xll.BDH($B48, D$4, AsOfDate), 4) = "#N/A", "", _xll.BDH($B48, D$4, AsOfDate))</f>
        <v>2958879</v>
      </c>
      <c r="E48" s="17">
        <f t="shared" si="2"/>
        <v>490383.86212121206</v>
      </c>
      <c r="F48" s="17">
        <v>18000</v>
      </c>
      <c r="G48" s="17">
        <v>0</v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</row>
    <row r="49" spans="2:18" x14ac:dyDescent="0.35">
      <c r="B49" s="12" t="s">
        <v>47</v>
      </c>
      <c r="C49" s="13" cm="1">
        <f t="array" ref="C49">IF(LEFT((_xll.BDP(B49,"INTERVAL_AVG","MARKET_DATA_OVERRIDE=PX_VOLUME","CALC_INTERVAL=3M","END_DATE_OVERRIDE="&amp;TEXT(AsOfDate,"YYYYMMDD"))),4)="#N/A","",_xll.BDP(B49,"INTERVAL_AVG","MARKET_DATA_OVERRIDE=PX_VOLUME","CALC_INTERVAL=3M","END_DATE_OVERRIDE="&amp;TEXT(AsOfDate,"YYYYMMDD")))</f>
        <v>2566686.7575757569</v>
      </c>
      <c r="D49" s="14" cm="1">
        <f t="array" ref="D49">IF(LEFT(_xll.BDH($B49, D$4, AsOfDate), 4) = "#N/A", "", _xll.BDH($B49, D$4, AsOfDate))</f>
        <v>2613649</v>
      </c>
      <c r="E49" s="14">
        <f t="shared" si="2"/>
        <v>256668.67575757569</v>
      </c>
      <c r="F49" s="14">
        <v>-70000</v>
      </c>
      <c r="G49" s="14"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</row>
    <row r="50" spans="2:18" x14ac:dyDescent="0.35">
      <c r="B50" s="15" t="s">
        <v>48</v>
      </c>
      <c r="C50" s="16" cm="1">
        <f t="array" ref="C50">IF(LEFT((_xll.BDP(B50,"INTERVAL_AVG","MARKET_DATA_OVERRIDE=PX_VOLUME","CALC_INTERVAL=3M","END_DATE_OVERRIDE="&amp;TEXT(AsOfDate,"YYYYMMDD"))),4)="#N/A","",_xll.BDP(B50,"INTERVAL_AVG","MARKET_DATA_OVERRIDE=PX_VOLUME","CALC_INTERVAL=3M","END_DATE_OVERRIDE="&amp;TEXT(AsOfDate,"YYYYMMDD")))</f>
        <v>1921675.0000000002</v>
      </c>
      <c r="D50" s="17" cm="1">
        <f t="array" ref="D50">IF(LEFT(_xll.BDH($B50, D$4, AsOfDate), 4) = "#N/A", "", _xll.BDH($B50, D$4, AsOfDate))</f>
        <v>3048483</v>
      </c>
      <c r="E50" s="17">
        <f t="shared" si="2"/>
        <v>192167.50000000003</v>
      </c>
      <c r="F50" s="17">
        <v>-50000</v>
      </c>
      <c r="G50" s="17">
        <v>0</v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</row>
    <row r="51" spans="2:18" x14ac:dyDescent="0.35">
      <c r="B51" s="12" t="s">
        <v>58</v>
      </c>
      <c r="C51" s="13" cm="1">
        <f t="array" ref="C51">IF(LEFT((_xll.BDP(B51,"INTERVAL_AVG","MARKET_DATA_OVERRIDE=PX_VOLUME","CALC_INTERVAL=3M","END_DATE_OVERRIDE="&amp;TEXT(AsOfDate,"YYYYMMDD"))),4)="#N/A","",_xll.BDP(B51,"INTERVAL_AVG","MARKET_DATA_OVERRIDE=PX_VOLUME","CALC_INTERVAL=3M","END_DATE_OVERRIDE="&amp;TEXT(AsOfDate,"YYYYMMDD")))</f>
        <v>674787.71212121192</v>
      </c>
      <c r="D51" s="14" cm="1">
        <f t="array" ref="D51">IF(LEFT(_xll.BDH($B51, D$4, AsOfDate), 4) = "#N/A", "", _xll.BDH($B51, D$4, AsOfDate))</f>
        <v>323662</v>
      </c>
      <c r="E51" s="14">
        <f t="shared" si="2"/>
        <v>67478.771212121195</v>
      </c>
      <c r="F51" s="14">
        <v>-5000</v>
      </c>
      <c r="G51" s="14">
        <v>0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</row>
    <row r="52" spans="2:18" x14ac:dyDescent="0.35">
      <c r="B52" s="15" t="s">
        <v>59</v>
      </c>
      <c r="C52" s="16" cm="1">
        <f t="array" ref="C52">IF(LEFT((_xll.BDP(B52,"INTERVAL_AVG","MARKET_DATA_OVERRIDE=PX_VOLUME","CALC_INTERVAL=3M","END_DATE_OVERRIDE="&amp;TEXT(AsOfDate,"YYYYMMDD"))),4)="#N/A","",_xll.BDP(B52,"INTERVAL_AVG","MARKET_DATA_OVERRIDE=PX_VOLUME","CALC_INTERVAL=3M","END_DATE_OVERRIDE="&amp;TEXT(AsOfDate,"YYYYMMDD")))</f>
        <v>962002.57575757592</v>
      </c>
      <c r="D52" s="17" cm="1">
        <f t="array" ref="D52">IF(LEFT(_xll.BDH($B52, D$4, AsOfDate), 4) = "#N/A", "", _xll.BDH($B52, D$4, AsOfDate))</f>
        <v>441434</v>
      </c>
      <c r="E52" s="17">
        <f t="shared" si="2"/>
        <v>96200.257575757598</v>
      </c>
      <c r="F52" s="17">
        <v>-30000</v>
      </c>
      <c r="G52" s="17">
        <v>0</v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spans="2:18" x14ac:dyDescent="0.35">
      <c r="B53" s="12" t="s">
        <v>60</v>
      </c>
      <c r="C53" s="13" cm="1">
        <f t="array" ref="C53">IF(LEFT((_xll.BDP(B53,"INTERVAL_AVG","MARKET_DATA_OVERRIDE=PX_VOLUME","CALC_INTERVAL=3M","END_DATE_OVERRIDE="&amp;TEXT(AsOfDate,"YYYYMMDD"))),4)="#N/A","",_xll.BDP(B53,"INTERVAL_AVG","MARKET_DATA_OVERRIDE=PX_VOLUME","CALC_INTERVAL=3M","END_DATE_OVERRIDE="&amp;TEXT(AsOfDate,"YYYYMMDD")))</f>
        <v>847887.8787878789</v>
      </c>
      <c r="D53" s="14" cm="1">
        <f t="array" ref="D53">IF(LEFT(_xll.BDH($B53, D$4, AsOfDate), 4) = "#N/A", "", _xll.BDH($B53, D$4, AsOfDate))</f>
        <v>533303</v>
      </c>
      <c r="E53" s="14">
        <f t="shared" si="2"/>
        <v>84788.787878787902</v>
      </c>
      <c r="F53" s="14">
        <v>-17500</v>
      </c>
      <c r="G53" s="14"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2:18" x14ac:dyDescent="0.35">
      <c r="B54" s="15" t="s">
        <v>70</v>
      </c>
      <c r="C54" s="16" cm="1">
        <f t="array" ref="C54">IF(LEFT((_xll.BDP(B54,"INTERVAL_AVG","MARKET_DATA_OVERRIDE=PX_VOLUME","CALC_INTERVAL=3M","END_DATE_OVERRIDE="&amp;TEXT(AsOfDate,"YYYYMMDD"))),4)="#N/A","",_xll.BDP(B54,"INTERVAL_AVG","MARKET_DATA_OVERRIDE=PX_VOLUME","CALC_INTERVAL=3M","END_DATE_OVERRIDE="&amp;TEXT(AsOfDate,"YYYYMMDD")))</f>
        <v>978282.19696969702</v>
      </c>
      <c r="D54" s="17" cm="1">
        <f t="array" ref="D54">IF(LEFT(_xll.BDH($B54, D$4, AsOfDate), 4) = "#N/A", "", _xll.BDH($B54, D$4, AsOfDate))</f>
        <v>444946</v>
      </c>
      <c r="E54" s="17">
        <f t="shared" si="2"/>
        <v>97828.219696969711</v>
      </c>
      <c r="F54" s="17">
        <v>-30000</v>
      </c>
      <c r="G54" s="17">
        <v>0</v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</row>
    <row r="55" spans="2:18" x14ac:dyDescent="0.35">
      <c r="B55" s="12" t="s">
        <v>71</v>
      </c>
      <c r="C55" s="13" cm="1">
        <f t="array" ref="C55">IF(LEFT((_xll.BDP(B55,"INTERVAL_AVG","MARKET_DATA_OVERRIDE=PX_VOLUME","CALC_INTERVAL=3M","END_DATE_OVERRIDE="&amp;TEXT(AsOfDate,"YYYYMMDD"))),4)="#N/A","",_xll.BDP(B55,"INTERVAL_AVG","MARKET_DATA_OVERRIDE=PX_VOLUME","CALC_INTERVAL=3M","END_DATE_OVERRIDE="&amp;TEXT(AsOfDate,"YYYYMMDD")))</f>
        <v>863106.74242424243</v>
      </c>
      <c r="D55" s="14" cm="1">
        <f t="array" ref="D55">IF(LEFT(_xll.BDH($B55, D$4, AsOfDate), 4) = "#N/A", "", _xll.BDH($B55, D$4, AsOfDate))</f>
        <v>846096</v>
      </c>
      <c r="E55" s="14">
        <f t="shared" si="2"/>
        <v>86310.674242424255</v>
      </c>
      <c r="F55" s="14">
        <v>-25000</v>
      </c>
      <c r="G55" s="14">
        <v>0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</row>
    <row r="56" spans="2:18" x14ac:dyDescent="0.35">
      <c r="B56" s="15" t="s">
        <v>61</v>
      </c>
      <c r="C56" s="16" cm="1">
        <f t="array" ref="C56">IF(LEFT((_xll.BDP(B56,"INTERVAL_AVG","MARKET_DATA_OVERRIDE=PX_VOLUME","CALC_INTERVAL=3M","END_DATE_OVERRIDE="&amp;TEXT(AsOfDate,"YYYYMMDD"))),4)="#N/A","",_xll.BDP(B56,"INTERVAL_AVG","MARKET_DATA_OVERRIDE=PX_VOLUME","CALC_INTERVAL=3M","END_DATE_OVERRIDE="&amp;TEXT(AsOfDate,"YYYYMMDD")))</f>
        <v>865434.36363636353</v>
      </c>
      <c r="D56" s="17" cm="1">
        <f t="array" ref="D56">IF(LEFT(_xll.BDH($B56, D$4, AsOfDate), 4) = "#N/A", "", _xll.BDH($B56, D$4, AsOfDate))</f>
        <v>414500</v>
      </c>
      <c r="E56" s="17">
        <f t="shared" si="2"/>
        <v>86543.436363636356</v>
      </c>
      <c r="F56" s="17">
        <v>-10000</v>
      </c>
      <c r="G56" s="17">
        <v>0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spans="2:18" x14ac:dyDescent="0.35">
      <c r="B57" s="12" t="s">
        <v>49</v>
      </c>
      <c r="C57" s="13" cm="1">
        <f t="array" ref="C57">IF(LEFT((_xll.BDP(B57,"INTERVAL_AVG","MARKET_DATA_OVERRIDE=PX_VOLUME","CALC_INTERVAL=3M","END_DATE_OVERRIDE="&amp;TEXT(AsOfDate,"YYYYMMDD"))),4)="#N/A","",_xll.BDP(B57,"INTERVAL_AVG","MARKET_DATA_OVERRIDE=PX_VOLUME","CALC_INTERVAL=3M","END_DATE_OVERRIDE="&amp;TEXT(AsOfDate,"YYYYMMDD")))</f>
        <v>542672.86363636365</v>
      </c>
      <c r="D57" s="14" cm="1">
        <f t="array" ref="D57">IF(LEFT(_xll.BDH($B57, D$4, AsOfDate), 4) = "#N/A", "", _xll.BDH($B57, D$4, AsOfDate))</f>
        <v>434179</v>
      </c>
      <c r="E57" s="14">
        <f t="shared" si="2"/>
        <v>54267.286363636369</v>
      </c>
      <c r="F57" s="14">
        <v>-30000</v>
      </c>
      <c r="G57" s="14"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</row>
    <row r="58" spans="2:18" x14ac:dyDescent="0.35">
      <c r="B58" s="15"/>
      <c r="C58" s="16" t="str" cm="1">
        <f t="array" ref="C58">IF(LEFT((_xll.BDP(B58,"INTERVAL_AVG","MARKET_DATA_OVERRIDE=PX_VOLUME","CALC_INTERVAL=3M","END_DATE_OVERRIDE="&amp;TEXT(AsOfDate,"YYYYMMDD"))),4)="#N/A","",_xll.BDP(B58,"INTERVAL_AVG","MARKET_DATA_OVERRIDE=PX_VOLUME","CALC_INTERVAL=3M","END_DATE_OVERRIDE="&amp;TEXT(AsOfDate,"YYYYMMDD")))</f>
        <v/>
      </c>
      <c r="D58" s="17" t="str" cm="1">
        <f t="array" ref="D58">IF(LEFT(_xll.BDH($B58, D$4, AsOfDate), 4) = "#N/A", "", _xll.BDH($B58, D$4, AsOfDate))</f>
        <v/>
      </c>
      <c r="E58" s="17" t="str">
        <f t="shared" si="2"/>
        <v/>
      </c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</row>
    <row r="59" spans="2:18" x14ac:dyDescent="0.35">
      <c r="B59" s="12"/>
      <c r="C59" s="13" t="str" cm="1">
        <f t="array" ref="C59">IF(LEFT((_xll.BDP(B59,"INTERVAL_AVG","MARKET_DATA_OVERRIDE=PX_VOLUME","CALC_INTERVAL=3M","END_DATE_OVERRIDE="&amp;TEXT(AsOfDate,"YYYYMMDD"))),4)="#N/A","",_xll.BDP(B59,"INTERVAL_AVG","MARKET_DATA_OVERRIDE=PX_VOLUME","CALC_INTERVAL=3M","END_DATE_OVERRIDE="&amp;TEXT(AsOfDate,"YYYYMMDD")))</f>
        <v/>
      </c>
      <c r="D59" s="14" t="str" cm="1">
        <f t="array" ref="D59">IF(LEFT(_xll.BDH($B59, D$4, AsOfDate), 4) = "#N/A", "", _xll.BDH($B59, D$4, AsOfDate))</f>
        <v/>
      </c>
      <c r="E59" s="14" t="str">
        <f t="shared" si="2"/>
        <v/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</row>
    <row r="60" spans="2:18" x14ac:dyDescent="0.35">
      <c r="B60" s="15"/>
      <c r="C60" s="16" t="str" cm="1">
        <f t="array" ref="C60">IF(LEFT((_xll.BDP(B60,"INTERVAL_AVG","MARKET_DATA_OVERRIDE=PX_VOLUME","CALC_INTERVAL=3M","END_DATE_OVERRIDE="&amp;TEXT(AsOfDate,"YYYYMMDD"))),4)="#N/A","",_xll.BDP(B60,"INTERVAL_AVG","MARKET_DATA_OVERRIDE=PX_VOLUME","CALC_INTERVAL=3M","END_DATE_OVERRIDE="&amp;TEXT(AsOfDate,"YYYYMMDD")))</f>
        <v/>
      </c>
      <c r="D60" s="17" t="str" cm="1">
        <f t="array" ref="D60">IF(LEFT(_xll.BDH($B60, D$4, AsOfDate), 4) = "#N/A", "", _xll.BDH($B60, D$4, AsOfDate))</f>
        <v/>
      </c>
      <c r="E60" s="17" t="str">
        <f t="shared" si="2"/>
        <v/>
      </c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</row>
    <row r="61" spans="2:18" x14ac:dyDescent="0.35">
      <c r="B61" s="12"/>
      <c r="C61" s="13" t="str" cm="1">
        <f t="array" ref="C61">IF(LEFT((_xll.BDP(B61,"INTERVAL_AVG","MARKET_DATA_OVERRIDE=PX_VOLUME","CALC_INTERVAL=3M","END_DATE_OVERRIDE="&amp;TEXT(AsOfDate,"YYYYMMDD"))),4)="#N/A","",_xll.BDP(B61,"INTERVAL_AVG","MARKET_DATA_OVERRIDE=PX_VOLUME","CALC_INTERVAL=3M","END_DATE_OVERRIDE="&amp;TEXT(AsOfDate,"YYYYMMDD")))</f>
        <v/>
      </c>
      <c r="D61" s="14" t="str" cm="1">
        <f t="array" ref="D61">IF(LEFT(_xll.BDH($B61, D$4, AsOfDate), 4) = "#N/A", "", _xll.BDH($B61, D$4, AsOfDate))</f>
        <v/>
      </c>
      <c r="E61" s="14" t="str">
        <f t="shared" si="2"/>
        <v/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</row>
    <row r="62" spans="2:18" x14ac:dyDescent="0.35">
      <c r="B62" s="15"/>
      <c r="C62" s="16" t="str" cm="1">
        <f t="array" ref="C62">IF(LEFT((_xll.BDP(B62,"INTERVAL_AVG","MARKET_DATA_OVERRIDE=PX_VOLUME","CALC_INTERVAL=3M","END_DATE_OVERRIDE="&amp;TEXT(AsOfDate,"YYYYMMDD"))),4)="#N/A","",_xll.BDP(B62,"INTERVAL_AVG","MARKET_DATA_OVERRIDE=PX_VOLUME","CALC_INTERVAL=3M","END_DATE_OVERRIDE="&amp;TEXT(AsOfDate,"YYYYMMDD")))</f>
        <v/>
      </c>
      <c r="D62" s="17" t="str" cm="1">
        <f t="array" ref="D62">IF(LEFT(_xll.BDH($B62, D$4, AsOfDate), 4) = "#N/A", "", _xll.BDH($B62, D$4, AsOfDate))</f>
        <v/>
      </c>
      <c r="E62" s="17" t="str">
        <f t="shared" si="2"/>
        <v/>
      </c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</row>
    <row r="63" spans="2:18" x14ac:dyDescent="0.35">
      <c r="B63" s="12"/>
      <c r="C63" s="13" t="str" cm="1">
        <f t="array" ref="C63">IF(LEFT((_xll.BDP(B63,"INTERVAL_AVG","MARKET_DATA_OVERRIDE=PX_VOLUME","CALC_INTERVAL=3M","END_DATE_OVERRIDE="&amp;TEXT(AsOfDate,"YYYYMMDD"))),4)="#N/A","",_xll.BDP(B63,"INTERVAL_AVG","MARKET_DATA_OVERRIDE=PX_VOLUME","CALC_INTERVAL=3M","END_DATE_OVERRIDE="&amp;TEXT(AsOfDate,"YYYYMMDD")))</f>
        <v/>
      </c>
      <c r="D63" s="14" t="str" cm="1">
        <f t="array" ref="D63">IF(LEFT(_xll.BDH($B63, D$4, AsOfDate), 4) = "#N/A", "", _xll.BDH($B63, D$4, AsOfDate))</f>
        <v/>
      </c>
      <c r="E63" s="14" t="str">
        <f t="shared" si="2"/>
        <v/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</row>
    <row r="64" spans="2:18" x14ac:dyDescent="0.35">
      <c r="B64" s="15"/>
      <c r="C64" s="16" t="str" cm="1">
        <f t="array" ref="C64">IF(LEFT((_xll.BDP(B64,"INTERVAL_AVG","MARKET_DATA_OVERRIDE=PX_VOLUME","CALC_INTERVAL=3M","END_DATE_OVERRIDE="&amp;TEXT(AsOfDate,"YYYYMMDD"))),4)="#N/A","",_xll.BDP(B64,"INTERVAL_AVG","MARKET_DATA_OVERRIDE=PX_VOLUME","CALC_INTERVAL=3M","END_DATE_OVERRIDE="&amp;TEXT(AsOfDate,"YYYYMMDD")))</f>
        <v/>
      </c>
      <c r="D64" s="17" t="str" cm="1">
        <f t="array" ref="D64">IF(LEFT(_xll.BDH($B64, D$4, AsOfDate), 4) = "#N/A", "", _xll.BDH($B64, D$4, AsOfDate))</f>
        <v/>
      </c>
      <c r="E64" s="17" t="str">
        <f t="shared" si="2"/>
        <v/>
      </c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</row>
    <row r="65" spans="2:18" x14ac:dyDescent="0.35">
      <c r="B65" s="12"/>
      <c r="C65" s="13" t="str" cm="1">
        <f t="array" ref="C65">IF(LEFT((_xll.BDP(B65,"INTERVAL_AVG","MARKET_DATA_OVERRIDE=PX_VOLUME","CALC_INTERVAL=3M","END_DATE_OVERRIDE="&amp;TEXT(AsOfDate,"YYYYMMDD"))),4)="#N/A","",_xll.BDP(B65,"INTERVAL_AVG","MARKET_DATA_OVERRIDE=PX_VOLUME","CALC_INTERVAL=3M","END_DATE_OVERRIDE="&amp;TEXT(AsOfDate,"YYYYMMDD")))</f>
        <v/>
      </c>
      <c r="D65" s="14" t="str" cm="1">
        <f t="array" ref="D65">IF(LEFT(_xll.BDH($B65, D$4, AsOfDate), 4) = "#N/A", "", _xll.BDH($B65, D$4, AsOfDate))</f>
        <v/>
      </c>
      <c r="E65" s="14" t="str">
        <f t="shared" si="2"/>
        <v/>
      </c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2:18" x14ac:dyDescent="0.35">
      <c r="B66" s="15"/>
      <c r="C66" s="16" t="str" cm="1">
        <f t="array" ref="C66">IF(LEFT((_xll.BDP(B66,"INTERVAL_AVG","MARKET_DATA_OVERRIDE=PX_VOLUME","CALC_INTERVAL=3M","END_DATE_OVERRIDE="&amp;TEXT(AsOfDate,"YYYYMMDD"))),4)="#N/A","",_xll.BDP(B66,"INTERVAL_AVG","MARKET_DATA_OVERRIDE=PX_VOLUME","CALC_INTERVAL=3M","END_DATE_OVERRIDE="&amp;TEXT(AsOfDate,"YYYYMMDD")))</f>
        <v/>
      </c>
      <c r="D66" s="17" t="str" cm="1">
        <f t="array" ref="D66">IF(LEFT(_xll.BDH($B66, D$4, AsOfDate), 4) = "#N/A", "", _xll.BDH($B66, D$4, AsOfDate))</f>
        <v/>
      </c>
      <c r="E66" s="17" t="str">
        <f t="shared" si="2"/>
        <v/>
      </c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</row>
    <row r="67" spans="2:18" x14ac:dyDescent="0.35">
      <c r="B67" s="12"/>
      <c r="C67" s="13" t="str" cm="1">
        <f t="array" ref="C67">IF(LEFT((_xll.BDP(B67,"INTERVAL_AVG","MARKET_DATA_OVERRIDE=PX_VOLUME","CALC_INTERVAL=3M","END_DATE_OVERRIDE="&amp;TEXT(AsOfDate,"YYYYMMDD"))),4)="#N/A","",_xll.BDP(B67,"INTERVAL_AVG","MARKET_DATA_OVERRIDE=PX_VOLUME","CALC_INTERVAL=3M","END_DATE_OVERRIDE="&amp;TEXT(AsOfDate,"YYYYMMDD")))</f>
        <v/>
      </c>
      <c r="D67" s="14" t="str" cm="1">
        <f t="array" ref="D67">IF(LEFT(_xll.BDH($B67, D$4, AsOfDate), 4) = "#N/A", "", _xll.BDH($B67, D$4, AsOfDate))</f>
        <v/>
      </c>
      <c r="E67" s="14" t="str">
        <f t="shared" si="2"/>
        <v/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2:18" x14ac:dyDescent="0.35">
      <c r="B68" s="15"/>
      <c r="C68" s="16" t="str" cm="1">
        <f t="array" ref="C68">IF(LEFT((_xll.BDP(B68,"INTERVAL_AVG","MARKET_DATA_OVERRIDE=PX_VOLUME","CALC_INTERVAL=3M","END_DATE_OVERRIDE="&amp;TEXT(AsOfDate,"YYYYMMDD"))),4)="#N/A","",_xll.BDP(B68,"INTERVAL_AVG","MARKET_DATA_OVERRIDE=PX_VOLUME","CALC_INTERVAL=3M","END_DATE_OVERRIDE="&amp;TEXT(AsOfDate,"YYYYMMDD")))</f>
        <v/>
      </c>
      <c r="D68" s="17" t="str" cm="1">
        <f t="array" ref="D68">IF(LEFT(_xll.BDH($B68, D$4, AsOfDate), 4) = "#N/A", "", _xll.BDH($B68, D$4, AsOfDate))</f>
        <v/>
      </c>
      <c r="E68" s="17" t="str">
        <f t="shared" si="2"/>
        <v/>
      </c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</row>
    <row r="69" spans="2:18" x14ac:dyDescent="0.35">
      <c r="C69" s="1"/>
      <c r="D69" s="1"/>
      <c r="E69" s="1"/>
    </row>
    <row r="72" spans="2:18" x14ac:dyDescent="0.35">
      <c r="C72" s="1"/>
      <c r="D72" s="1"/>
      <c r="E72" s="1"/>
    </row>
    <row r="73" spans="2:18" x14ac:dyDescent="0.35">
      <c r="C73" s="1"/>
      <c r="D73" s="1"/>
      <c r="E73" s="1"/>
    </row>
    <row r="74" spans="2:18" x14ac:dyDescent="0.35">
      <c r="C74" s="1"/>
      <c r="D74" s="1"/>
      <c r="E74" s="1"/>
    </row>
    <row r="75" spans="2:18" x14ac:dyDescent="0.35">
      <c r="C75" s="1"/>
      <c r="D75" s="1"/>
      <c r="E75" s="1"/>
    </row>
    <row r="76" spans="2:18" x14ac:dyDescent="0.35">
      <c r="C76" s="1"/>
      <c r="D76" s="1"/>
      <c r="E76" s="1"/>
    </row>
    <row r="77" spans="2:18" x14ac:dyDescent="0.35">
      <c r="C77" s="1"/>
      <c r="D77" s="1"/>
      <c r="E77" s="1"/>
    </row>
    <row r="78" spans="2:18" x14ac:dyDescent="0.35">
      <c r="C78" s="1"/>
      <c r="D78" s="1"/>
      <c r="E78" s="1"/>
    </row>
    <row r="79" spans="2:18" x14ac:dyDescent="0.35">
      <c r="C79" s="1"/>
      <c r="D79" s="1"/>
      <c r="E79" s="1"/>
    </row>
    <row r="80" spans="2:18" x14ac:dyDescent="0.35">
      <c r="C80" s="1"/>
      <c r="D80" s="1"/>
      <c r="E80" s="1"/>
    </row>
    <row r="81" spans="3:5" x14ac:dyDescent="0.35">
      <c r="C81" s="1"/>
      <c r="D81" s="1"/>
      <c r="E81" s="1"/>
    </row>
    <row r="82" spans="3:5" x14ac:dyDescent="0.35">
      <c r="C82" s="1"/>
      <c r="D82" s="1"/>
      <c r="E82" s="1"/>
    </row>
    <row r="83" spans="3:5" x14ac:dyDescent="0.35">
      <c r="C83" s="1"/>
      <c r="D83" s="1"/>
      <c r="E83" s="1"/>
    </row>
    <row r="84" spans="3:5" x14ac:dyDescent="0.35">
      <c r="C84" s="1"/>
      <c r="D84" s="1"/>
      <c r="E84" s="1"/>
    </row>
    <row r="85" spans="3:5" x14ac:dyDescent="0.35">
      <c r="C85" s="1"/>
      <c r="D85" s="1"/>
      <c r="E85" s="1"/>
    </row>
    <row r="86" spans="3:5" x14ac:dyDescent="0.35">
      <c r="C86" s="1"/>
      <c r="D86" s="1"/>
      <c r="E86" s="1"/>
    </row>
  </sheetData>
  <conditionalFormatting sqref="F5:F68">
    <cfRule type="cellIs" dxfId="7" priority="3" operator="lessThan">
      <formula>0</formula>
    </cfRule>
    <cfRule type="cellIs" dxfId="6" priority="4" operator="greaterThan">
      <formula>0</formula>
    </cfRule>
  </conditionalFormatting>
  <conditionalFormatting sqref="G5:R68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C56BA-9F3B-4D91-B94F-A17F57293EE6}">
  <sheetPr codeName="Sheet2"/>
  <dimension ref="B1:R86"/>
  <sheetViews>
    <sheetView showGridLines="0" zoomScale="90" zoomScaleNormal="90" workbookViewId="0">
      <selection activeCell="B3" sqref="B3"/>
    </sheetView>
  </sheetViews>
  <sheetFormatPr defaultRowHeight="14.5" x14ac:dyDescent="0.35"/>
  <cols>
    <col min="1" max="1" width="3" customWidth="1"/>
    <col min="2" max="2" width="26" style="5" customWidth="1"/>
    <col min="3" max="5" width="20.7265625" customWidth="1"/>
    <col min="6" max="6" width="14.1796875" style="1" customWidth="1"/>
    <col min="7" max="18" width="14.1796875" customWidth="1"/>
  </cols>
  <sheetData>
    <row r="1" spans="2:18" x14ac:dyDescent="0.35">
      <c r="G1" s="18"/>
      <c r="H1" s="18"/>
      <c r="I1" s="18"/>
      <c r="J1" s="18"/>
      <c r="K1" s="18"/>
      <c r="L1" s="18"/>
      <c r="M1" s="18"/>
      <c r="N1" s="18"/>
      <c r="O1" s="18">
        <f>$F5*Shares!O1</f>
        <v>0</v>
      </c>
    </row>
    <row r="2" spans="2:18" x14ac:dyDescent="0.35">
      <c r="D2" s="1"/>
      <c r="E2" s="9" t="s">
        <v>36</v>
      </c>
      <c r="F2" s="6" cm="1">
        <f t="array" ref="F2">SUM(ABS(F5:F68))</f>
        <v>104631943.5859375</v>
      </c>
      <c r="G2" s="6" cm="1">
        <f t="array" ref="G2">SUM(ABS(G5:G68))</f>
        <v>51261271.334385939</v>
      </c>
      <c r="H2" s="6" cm="1">
        <f t="array" ref="H2">SUM(ABS(H5:H68))</f>
        <v>36914557.826692574</v>
      </c>
      <c r="I2" s="6" cm="1">
        <f t="array" ref="I2">SUM(ABS(I5:I68))</f>
        <v>30077460.98463548</v>
      </c>
      <c r="J2" s="6" cm="1">
        <f t="array" ref="J2">SUM(ABS(J5:J68))</f>
        <v>25487826.648790676</v>
      </c>
      <c r="K2" s="6" cm="1">
        <f t="array" ref="K2">SUM(ABS(K5:K68))</f>
        <v>22192474.377720691</v>
      </c>
      <c r="L2" s="6" cm="1">
        <f t="array" ref="L2">SUM(ABS(L5:L68))</f>
        <v>15164179.075632859</v>
      </c>
      <c r="M2" s="6" cm="1">
        <f t="array" ref="M2">SUM(ABS(M5:M68))</f>
        <v>12965250.803304398</v>
      </c>
      <c r="N2" s="6" cm="1">
        <f t="array" ref="N2">SUM(ABS(N5:N68))</f>
        <v>10896851.199626155</v>
      </c>
      <c r="O2" s="6" cm="1">
        <f t="array" ref="O2">SUM(ABS(O5:O68))</f>
        <v>3821480.8982121209</v>
      </c>
      <c r="P2" s="6" cm="1">
        <f t="array" ref="P2">SUM(ABS(P5:P68))</f>
        <v>1004882.6147245599</v>
      </c>
      <c r="Q2" s="6" cm="1">
        <f t="array" ref="Q2">SUM(ABS(Q5:Q68))</f>
        <v>142774.26341951641</v>
      </c>
      <c r="R2" s="6" cm="1">
        <f t="array" ref="R2">SUM(ABS(R5:R68))</f>
        <v>0</v>
      </c>
    </row>
    <row r="3" spans="2:18" x14ac:dyDescent="0.35">
      <c r="B3" s="4">
        <f>Shares!AsOfDate</f>
        <v>45573</v>
      </c>
      <c r="E3" s="9" t="s">
        <v>37</v>
      </c>
      <c r="F3" s="10">
        <f t="shared" ref="F3:R3" si="0">1-ABS((F2-$F$2))/$F$2</f>
        <v>1</v>
      </c>
      <c r="G3" s="10">
        <f t="shared" si="0"/>
        <v>0.48991989996136742</v>
      </c>
      <c r="H3" s="10">
        <f t="shared" si="0"/>
        <v>0.3528039006211664</v>
      </c>
      <c r="I3" s="10">
        <f t="shared" si="0"/>
        <v>0.28745964142328972</v>
      </c>
      <c r="J3" s="10">
        <f t="shared" si="0"/>
        <v>0.24359507981285577</v>
      </c>
      <c r="K3" s="10">
        <f t="shared" si="0"/>
        <v>0.21210037410318494</v>
      </c>
      <c r="L3" s="10">
        <f t="shared" si="0"/>
        <v>0.14492877180646113</v>
      </c>
      <c r="M3" s="10">
        <f t="shared" si="0"/>
        <v>0.12391293097461809</v>
      </c>
      <c r="N3" s="10">
        <f t="shared" si="0"/>
        <v>0.10414459319181257</v>
      </c>
      <c r="O3" s="10">
        <f t="shared" si="0"/>
        <v>3.6523080497624649E-2</v>
      </c>
      <c r="P3" s="10">
        <f t="shared" si="0"/>
        <v>9.603975423616351E-3</v>
      </c>
      <c r="Q3" s="10">
        <f t="shared" si="0"/>
        <v>1.3645380036572119E-3</v>
      </c>
      <c r="R3" s="10">
        <f t="shared" si="0"/>
        <v>0</v>
      </c>
    </row>
    <row r="4" spans="2:18" x14ac:dyDescent="0.35">
      <c r="B4" s="11" t="s">
        <v>24</v>
      </c>
      <c r="C4" s="7"/>
      <c r="D4" s="7"/>
      <c r="E4" s="7"/>
      <c r="F4" s="8" t="s">
        <v>35</v>
      </c>
      <c r="G4" s="7" t="s">
        <v>9</v>
      </c>
      <c r="H4" s="7" t="s">
        <v>10</v>
      </c>
      <c r="I4" s="7" t="s">
        <v>11</v>
      </c>
      <c r="J4" s="7" t="s">
        <v>12</v>
      </c>
      <c r="K4" s="7" t="s">
        <v>13</v>
      </c>
      <c r="L4" s="7" t="s">
        <v>14</v>
      </c>
      <c r="M4" s="7" t="s">
        <v>15</v>
      </c>
      <c r="N4" s="7" t="s">
        <v>17</v>
      </c>
      <c r="O4" s="7" t="s">
        <v>19</v>
      </c>
      <c r="P4" s="7" t="s">
        <v>18</v>
      </c>
      <c r="Q4" s="7" t="s">
        <v>20</v>
      </c>
      <c r="R4" s="7" t="s">
        <v>21</v>
      </c>
    </row>
    <row r="5" spans="2:18" x14ac:dyDescent="0.35">
      <c r="B5" s="12" t="s">
        <v>25</v>
      </c>
      <c r="C5" s="13"/>
      <c r="D5" s="14"/>
      <c r="E5" s="14"/>
      <c r="F5" s="14">
        <v>5253201</v>
      </c>
      <c r="G5" s="14">
        <v>5170274.4710433604</v>
      </c>
      <c r="H5" s="14">
        <v>5087347.9420867208</v>
      </c>
      <c r="I5" s="14">
        <v>5004421.4131300813</v>
      </c>
      <c r="J5" s="14">
        <v>4921494.8841734417</v>
      </c>
      <c r="K5" s="14">
        <v>4838568.355216803</v>
      </c>
      <c r="L5" s="14">
        <v>4423935.7104336023</v>
      </c>
      <c r="M5" s="14">
        <v>4009303.0656504021</v>
      </c>
      <c r="N5" s="14">
        <v>3511743.8919105618</v>
      </c>
      <c r="O5" s="14">
        <v>1770286.7838211206</v>
      </c>
      <c r="P5" s="14">
        <v>28829.675731679592</v>
      </c>
      <c r="Q5" s="14">
        <v>0</v>
      </c>
      <c r="R5" s="14"/>
    </row>
    <row r="6" spans="2:18" x14ac:dyDescent="0.35">
      <c r="B6" s="15" t="s">
        <v>65</v>
      </c>
      <c r="C6" s="16"/>
      <c r="D6" s="17"/>
      <c r="E6" s="17"/>
      <c r="F6" s="17">
        <v>471000</v>
      </c>
      <c r="G6" s="17">
        <v>0</v>
      </c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2:18" x14ac:dyDescent="0.35">
      <c r="B7" s="12" t="s">
        <v>51</v>
      </c>
      <c r="C7" s="13"/>
      <c r="D7" s="14"/>
      <c r="E7" s="14"/>
      <c r="F7" s="14">
        <v>4958419</v>
      </c>
      <c r="G7" s="14">
        <v>122611.30066666835</v>
      </c>
      <c r="H7" s="14">
        <v>0</v>
      </c>
      <c r="I7" s="14"/>
      <c r="J7" s="14"/>
      <c r="K7" s="14"/>
      <c r="L7" s="14"/>
      <c r="M7" s="14"/>
      <c r="N7" s="14"/>
      <c r="O7" s="14"/>
      <c r="P7" s="14"/>
      <c r="Q7" s="14"/>
      <c r="R7" s="14"/>
    </row>
    <row r="8" spans="2:18" x14ac:dyDescent="0.35">
      <c r="B8" s="15" t="s">
        <v>0</v>
      </c>
      <c r="C8" s="16"/>
      <c r="D8" s="17"/>
      <c r="E8" s="17"/>
      <c r="F8" s="17">
        <v>5611000</v>
      </c>
      <c r="G8" s="17">
        <v>3191185.1773333331</v>
      </c>
      <c r="H8" s="17">
        <v>771370.35466666636</v>
      </c>
      <c r="I8" s="17">
        <v>0</v>
      </c>
      <c r="J8" s="17"/>
      <c r="K8" s="17"/>
      <c r="L8" s="17"/>
      <c r="M8" s="17"/>
      <c r="N8" s="17"/>
      <c r="O8" s="17"/>
      <c r="P8" s="17"/>
      <c r="Q8" s="17"/>
      <c r="R8" s="17"/>
    </row>
    <row r="9" spans="2:18" x14ac:dyDescent="0.35">
      <c r="B9" s="12" t="s">
        <v>0</v>
      </c>
      <c r="C9" s="13"/>
      <c r="D9" s="14"/>
      <c r="E9" s="14"/>
      <c r="F9" s="14">
        <v>-3631046.5</v>
      </c>
      <c r="G9" s="14">
        <v>-1211231.6306836852</v>
      </c>
      <c r="H9" s="14">
        <v>0</v>
      </c>
      <c r="I9" s="14"/>
      <c r="J9" s="14"/>
      <c r="K9" s="14"/>
      <c r="L9" s="14"/>
      <c r="M9" s="14"/>
      <c r="N9" s="14"/>
      <c r="O9" s="14"/>
      <c r="P9" s="14"/>
      <c r="Q9" s="14"/>
      <c r="R9" s="14"/>
    </row>
    <row r="10" spans="2:18" x14ac:dyDescent="0.35">
      <c r="B10" s="15" t="s">
        <v>52</v>
      </c>
      <c r="C10" s="16"/>
      <c r="D10" s="17"/>
      <c r="E10" s="17"/>
      <c r="F10" s="17">
        <v>4244625</v>
      </c>
      <c r="G10" s="17">
        <v>532383.0400000005</v>
      </c>
      <c r="H10" s="17">
        <v>0</v>
      </c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2:18" x14ac:dyDescent="0.35">
      <c r="B11" s="12" t="s">
        <v>53</v>
      </c>
      <c r="C11" s="13"/>
      <c r="D11" s="14"/>
      <c r="E11" s="14"/>
      <c r="F11" s="14">
        <v>9532305</v>
      </c>
      <c r="G11" s="14">
        <v>1388034.7402380949</v>
      </c>
      <c r="H11" s="14">
        <v>0</v>
      </c>
      <c r="I11" s="14"/>
      <c r="J11" s="14"/>
      <c r="K11" s="14"/>
      <c r="L11" s="14"/>
      <c r="M11" s="14"/>
      <c r="N11" s="14"/>
      <c r="O11" s="14"/>
      <c r="P11" s="14"/>
      <c r="Q11" s="14"/>
      <c r="R11" s="14"/>
    </row>
    <row r="12" spans="2:18" x14ac:dyDescent="0.35">
      <c r="B12" s="15" t="s">
        <v>40</v>
      </c>
      <c r="C12" s="16"/>
      <c r="D12" s="17"/>
      <c r="E12" s="17"/>
      <c r="F12" s="17">
        <v>537739.1875</v>
      </c>
      <c r="G12" s="17">
        <v>521030.43752476637</v>
      </c>
      <c r="H12" s="17">
        <v>504321.68754953268</v>
      </c>
      <c r="I12" s="17">
        <v>487612.93757429905</v>
      </c>
      <c r="J12" s="17">
        <v>470904.18759906542</v>
      </c>
      <c r="K12" s="17">
        <v>454195.43762383168</v>
      </c>
      <c r="L12" s="17">
        <v>370651.68774766347</v>
      </c>
      <c r="M12" s="17">
        <v>287107.9378714952</v>
      </c>
      <c r="N12" s="17">
        <v>186855.43802009351</v>
      </c>
      <c r="O12" s="17">
        <v>0</v>
      </c>
      <c r="P12" s="17"/>
      <c r="Q12" s="17"/>
      <c r="R12" s="17"/>
    </row>
    <row r="13" spans="2:18" x14ac:dyDescent="0.35">
      <c r="B13" s="12" t="s">
        <v>41</v>
      </c>
      <c r="C13" s="13"/>
      <c r="D13" s="14"/>
      <c r="E13" s="14"/>
      <c r="F13" s="14">
        <v>613161.375</v>
      </c>
      <c r="G13" s="14">
        <v>607617.30863759201</v>
      </c>
      <c r="H13" s="14">
        <v>602073.2422751839</v>
      </c>
      <c r="I13" s="14">
        <v>596529.17591277603</v>
      </c>
      <c r="J13" s="14">
        <v>590985.10955036792</v>
      </c>
      <c r="K13" s="14">
        <v>585441.04318795993</v>
      </c>
      <c r="L13" s="14">
        <v>557720.71137591987</v>
      </c>
      <c r="M13" s="14">
        <v>530000.3795638798</v>
      </c>
      <c r="N13" s="14">
        <v>496735.98138943175</v>
      </c>
      <c r="O13" s="14">
        <v>380310.5877788646</v>
      </c>
      <c r="P13" s="14">
        <v>263885.19416829752</v>
      </c>
      <c r="Q13" s="14">
        <v>0</v>
      </c>
      <c r="R13" s="14"/>
    </row>
    <row r="14" spans="2:18" x14ac:dyDescent="0.35">
      <c r="B14" s="15" t="s">
        <v>26</v>
      </c>
      <c r="C14" s="16"/>
      <c r="D14" s="17"/>
      <c r="E14" s="17"/>
      <c r="F14" s="17">
        <v>2733600</v>
      </c>
      <c r="G14" s="17">
        <v>1793689.0625454546</v>
      </c>
      <c r="H14" s="17">
        <v>853778.12509090907</v>
      </c>
      <c r="I14" s="17">
        <v>0</v>
      </c>
      <c r="J14" s="17"/>
      <c r="K14" s="17"/>
      <c r="L14" s="17"/>
      <c r="M14" s="17"/>
      <c r="N14" s="17"/>
      <c r="O14" s="17"/>
      <c r="P14" s="17"/>
      <c r="Q14" s="17"/>
      <c r="R14" s="17"/>
    </row>
    <row r="15" spans="2:18" x14ac:dyDescent="0.35">
      <c r="B15" s="12" t="s">
        <v>62</v>
      </c>
      <c r="C15" s="13"/>
      <c r="D15" s="14"/>
      <c r="E15" s="14"/>
      <c r="F15" s="14">
        <v>2536550</v>
      </c>
      <c r="G15" s="14">
        <v>2276371.248560606</v>
      </c>
      <c r="H15" s="14">
        <v>2016192.4971212121</v>
      </c>
      <c r="I15" s="14">
        <v>1756013.7456818183</v>
      </c>
      <c r="J15" s="14">
        <v>1495834.9942424241</v>
      </c>
      <c r="K15" s="14">
        <v>1235656.2428030302</v>
      </c>
      <c r="L15" s="14">
        <v>0</v>
      </c>
      <c r="M15" s="14"/>
      <c r="N15" s="14"/>
      <c r="O15" s="14"/>
      <c r="P15" s="14"/>
      <c r="Q15" s="14"/>
      <c r="R15" s="14"/>
    </row>
    <row r="16" spans="2:18" x14ac:dyDescent="0.35">
      <c r="B16" s="15" t="s">
        <v>42</v>
      </c>
      <c r="C16" s="16"/>
      <c r="D16" s="17"/>
      <c r="E16" s="17"/>
      <c r="F16" s="17">
        <v>2175253.25</v>
      </c>
      <c r="G16" s="17">
        <v>2141584.5137002352</v>
      </c>
      <c r="H16" s="17">
        <v>2107915.7774004708</v>
      </c>
      <c r="I16" s="17">
        <v>2074247.0411007062</v>
      </c>
      <c r="J16" s="17">
        <v>2040578.3048009414</v>
      </c>
      <c r="K16" s="17">
        <v>2006909.5685011768</v>
      </c>
      <c r="L16" s="17">
        <v>1838565.8870023533</v>
      </c>
      <c r="M16" s="17">
        <v>1670222.2055035303</v>
      </c>
      <c r="N16" s="17">
        <v>1468209.7877049423</v>
      </c>
      <c r="O16" s="17">
        <v>761166.32540988468</v>
      </c>
      <c r="P16" s="17">
        <v>54122.863114826199</v>
      </c>
      <c r="Q16" s="17">
        <v>0</v>
      </c>
      <c r="R16" s="17"/>
    </row>
    <row r="17" spans="2:18" x14ac:dyDescent="0.35">
      <c r="B17" s="12" t="s">
        <v>38</v>
      </c>
      <c r="C17" s="13"/>
      <c r="D17" s="14"/>
      <c r="E17" s="14"/>
      <c r="F17" s="14">
        <v>1176175</v>
      </c>
      <c r="G17" s="14">
        <v>0</v>
      </c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35">
      <c r="B18" s="15" t="s">
        <v>27</v>
      </c>
      <c r="C18" s="16"/>
      <c r="D18" s="17"/>
      <c r="E18" s="17"/>
      <c r="F18" s="17">
        <v>2444850</v>
      </c>
      <c r="G18" s="17">
        <v>0</v>
      </c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2:18" x14ac:dyDescent="0.35">
      <c r="B19" s="12" t="s">
        <v>28</v>
      </c>
      <c r="C19" s="13"/>
      <c r="D19" s="14"/>
      <c r="E19" s="14"/>
      <c r="F19" s="14">
        <v>1572198.25</v>
      </c>
      <c r="G19" s="14">
        <v>1003122.9334162595</v>
      </c>
      <c r="H19" s="14">
        <v>434047.61683251872</v>
      </c>
      <c r="I19" s="14">
        <v>0</v>
      </c>
      <c r="J19" s="14"/>
      <c r="K19" s="14"/>
      <c r="L19" s="14"/>
      <c r="M19" s="14"/>
      <c r="N19" s="14"/>
      <c r="O19" s="14"/>
      <c r="P19" s="14"/>
      <c r="Q19" s="14"/>
      <c r="R19" s="14"/>
    </row>
    <row r="20" spans="2:18" x14ac:dyDescent="0.35">
      <c r="B20" s="15" t="s">
        <v>1</v>
      </c>
      <c r="C20" s="16"/>
      <c r="D20" s="17"/>
      <c r="E20" s="17"/>
      <c r="F20" s="17">
        <v>330960.25</v>
      </c>
      <c r="G20" s="17">
        <v>267618.01784057618</v>
      </c>
      <c r="H20" s="17">
        <v>204275.7856811524</v>
      </c>
      <c r="I20" s="17">
        <v>140933.55352172858</v>
      </c>
      <c r="J20" s="17">
        <v>77591.321362304778</v>
      </c>
      <c r="K20" s="17">
        <v>14249.089202880974</v>
      </c>
      <c r="L20" s="17">
        <v>0</v>
      </c>
      <c r="M20" s="17"/>
      <c r="N20" s="17"/>
      <c r="O20" s="17"/>
      <c r="P20" s="17"/>
      <c r="Q20" s="17"/>
      <c r="R20" s="17"/>
    </row>
    <row r="21" spans="2:18" x14ac:dyDescent="0.35">
      <c r="B21" s="12" t="s">
        <v>2</v>
      </c>
      <c r="C21" s="13"/>
      <c r="D21" s="14"/>
      <c r="E21" s="14"/>
      <c r="F21" s="14">
        <v>6358225.5</v>
      </c>
      <c r="G21" s="14">
        <v>5458842.5250000004</v>
      </c>
      <c r="H21" s="14">
        <v>4559459.55</v>
      </c>
      <c r="I21" s="14">
        <v>3660076.5750000002</v>
      </c>
      <c r="J21" s="14">
        <v>2760693.6000000006</v>
      </c>
      <c r="K21" s="14">
        <v>1861310.6250000002</v>
      </c>
      <c r="L21" s="14">
        <v>0</v>
      </c>
      <c r="M21" s="14"/>
      <c r="N21" s="14"/>
      <c r="O21" s="14"/>
      <c r="P21" s="14"/>
      <c r="Q21" s="14"/>
      <c r="R21" s="14"/>
    </row>
    <row r="22" spans="2:18" x14ac:dyDescent="0.35">
      <c r="B22" s="15" t="s">
        <v>3</v>
      </c>
      <c r="C22" s="16"/>
      <c r="D22" s="17"/>
      <c r="E22" s="17"/>
      <c r="F22" s="17">
        <v>625288.5625</v>
      </c>
      <c r="G22" s="17">
        <v>509474.8828551409</v>
      </c>
      <c r="H22" s="17">
        <v>393661.20321028185</v>
      </c>
      <c r="I22" s="17">
        <v>277847.5235654228</v>
      </c>
      <c r="J22" s="17">
        <v>162033.8439205637</v>
      </c>
      <c r="K22" s="17">
        <v>46220.164275704585</v>
      </c>
      <c r="L22" s="17">
        <v>0</v>
      </c>
      <c r="M22" s="17"/>
      <c r="N22" s="17"/>
      <c r="O22" s="17"/>
      <c r="P22" s="17"/>
      <c r="Q22" s="17"/>
      <c r="R22" s="17"/>
    </row>
    <row r="23" spans="2:18" x14ac:dyDescent="0.35">
      <c r="B23" s="12" t="s">
        <v>43</v>
      </c>
      <c r="C23" s="13"/>
      <c r="D23" s="14"/>
      <c r="E23" s="14"/>
      <c r="F23" s="14">
        <v>905126.25</v>
      </c>
      <c r="G23" s="14">
        <v>769920.14431818179</v>
      </c>
      <c r="H23" s="14">
        <v>634714.03863636358</v>
      </c>
      <c r="I23" s="14">
        <v>499507.93295454554</v>
      </c>
      <c r="J23" s="14">
        <v>364301.82727272739</v>
      </c>
      <c r="K23" s="14">
        <v>229095.72159090923</v>
      </c>
      <c r="L23" s="14">
        <v>0</v>
      </c>
      <c r="M23" s="14"/>
      <c r="N23" s="14"/>
      <c r="O23" s="14"/>
      <c r="P23" s="14"/>
      <c r="Q23" s="14"/>
      <c r="R23" s="14"/>
    </row>
    <row r="24" spans="2:18" x14ac:dyDescent="0.35">
      <c r="B24" s="15" t="s">
        <v>63</v>
      </c>
      <c r="C24" s="16"/>
      <c r="D24" s="17"/>
      <c r="E24" s="17"/>
      <c r="F24" s="17">
        <v>713700</v>
      </c>
      <c r="G24" s="17">
        <v>0</v>
      </c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</row>
    <row r="25" spans="2:18" x14ac:dyDescent="0.35">
      <c r="B25" s="12" t="s">
        <v>64</v>
      </c>
      <c r="C25" s="13"/>
      <c r="D25" s="14"/>
      <c r="E25" s="14"/>
      <c r="F25" s="14">
        <v>449300</v>
      </c>
      <c r="G25" s="14">
        <v>0</v>
      </c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35">
      <c r="B26" s="15" t="s">
        <v>29</v>
      </c>
      <c r="C26" s="16"/>
      <c r="D26" s="17"/>
      <c r="E26" s="17"/>
      <c r="F26" s="17">
        <v>1270400</v>
      </c>
      <c r="G26" s="17">
        <v>948434.25115151505</v>
      </c>
      <c r="H26" s="17">
        <v>626468.50230303011</v>
      </c>
      <c r="I26" s="17">
        <v>304502.75345454522</v>
      </c>
      <c r="J26" s="17">
        <v>0</v>
      </c>
      <c r="K26" s="17"/>
      <c r="L26" s="17"/>
      <c r="M26" s="17"/>
      <c r="N26" s="17"/>
      <c r="O26" s="17"/>
      <c r="P26" s="17"/>
      <c r="Q26" s="17"/>
      <c r="R26" s="17"/>
    </row>
    <row r="27" spans="2:18" x14ac:dyDescent="0.35">
      <c r="B27" s="12" t="s">
        <v>4</v>
      </c>
      <c r="C27" s="13"/>
      <c r="D27" s="14"/>
      <c r="E27" s="14"/>
      <c r="F27" s="14">
        <v>1587067</v>
      </c>
      <c r="G27" s="14">
        <v>1158962.7961192701</v>
      </c>
      <c r="H27" s="14">
        <v>730858.59223854018</v>
      </c>
      <c r="I27" s="14">
        <v>302754.38835781033</v>
      </c>
      <c r="J27" s="14">
        <v>0</v>
      </c>
      <c r="K27" s="14"/>
      <c r="L27" s="14"/>
      <c r="M27" s="14"/>
      <c r="N27" s="14"/>
      <c r="O27" s="14"/>
      <c r="P27" s="14"/>
      <c r="Q27" s="14"/>
      <c r="R27" s="14"/>
    </row>
    <row r="28" spans="2:18" x14ac:dyDescent="0.35">
      <c r="B28" s="15" t="s">
        <v>30</v>
      </c>
      <c r="C28" s="16"/>
      <c r="D28" s="17"/>
      <c r="E28" s="17"/>
      <c r="F28" s="17">
        <v>1790100</v>
      </c>
      <c r="G28" s="17">
        <v>0</v>
      </c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</row>
    <row r="29" spans="2:18" x14ac:dyDescent="0.35">
      <c r="B29" s="12" t="s">
        <v>44</v>
      </c>
      <c r="C29" s="13"/>
      <c r="D29" s="14"/>
      <c r="E29" s="14"/>
      <c r="F29" s="14">
        <v>3019637.75</v>
      </c>
      <c r="G29" s="14">
        <v>761170.63024003757</v>
      </c>
      <c r="H29" s="14">
        <v>0</v>
      </c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2:18" x14ac:dyDescent="0.35">
      <c r="B30" s="15" t="s">
        <v>45</v>
      </c>
      <c r="C30" s="16"/>
      <c r="D30" s="17"/>
      <c r="E30" s="17"/>
      <c r="F30" s="17">
        <v>84594.921875</v>
      </c>
      <c r="G30" s="17">
        <v>64466.530764076531</v>
      </c>
      <c r="H30" s="17">
        <v>44338.139653153048</v>
      </c>
      <c r="I30" s="17">
        <v>24209.748542229576</v>
      </c>
      <c r="J30" s="17">
        <v>4081.3574313060972</v>
      </c>
      <c r="K30" s="17">
        <v>0</v>
      </c>
      <c r="L30" s="17"/>
      <c r="M30" s="17"/>
      <c r="N30" s="17"/>
      <c r="O30" s="17"/>
      <c r="P30" s="17"/>
      <c r="Q30" s="17"/>
      <c r="R30" s="17"/>
    </row>
    <row r="31" spans="2:18" x14ac:dyDescent="0.35">
      <c r="B31" s="12" t="s">
        <v>39</v>
      </c>
      <c r="C31" s="13"/>
      <c r="D31" s="14"/>
      <c r="E31" s="14"/>
      <c r="F31" s="14">
        <v>2649000</v>
      </c>
      <c r="G31" s="14">
        <v>0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2:18" x14ac:dyDescent="0.35">
      <c r="B32" s="15" t="s">
        <v>50</v>
      </c>
      <c r="C32" s="16"/>
      <c r="D32" s="17"/>
      <c r="E32" s="17"/>
      <c r="F32" s="17">
        <v>2028655.25</v>
      </c>
      <c r="G32" s="17">
        <v>1558283.2304068026</v>
      </c>
      <c r="H32" s="17">
        <v>1087911.2108136052</v>
      </c>
      <c r="I32" s="17">
        <v>617539.19122040772</v>
      </c>
      <c r="J32" s="17">
        <v>147167.17162721016</v>
      </c>
      <c r="K32" s="17">
        <v>0</v>
      </c>
      <c r="L32" s="17"/>
      <c r="M32" s="17"/>
      <c r="N32" s="17"/>
      <c r="O32" s="17"/>
      <c r="P32" s="17"/>
      <c r="Q32" s="17"/>
      <c r="R32" s="17"/>
    </row>
    <row r="33" spans="2:18" x14ac:dyDescent="0.35">
      <c r="B33" s="12" t="s">
        <v>54</v>
      </c>
      <c r="C33" s="13"/>
      <c r="D33" s="14"/>
      <c r="E33" s="14"/>
      <c r="F33" s="14">
        <v>3665031.5</v>
      </c>
      <c r="G33" s="14">
        <v>2982623.2177103474</v>
      </c>
      <c r="H33" s="14">
        <v>2300214.9354206943</v>
      </c>
      <c r="I33" s="14">
        <v>1617806.6531310419</v>
      </c>
      <c r="J33" s="14">
        <v>935398.37084138917</v>
      </c>
      <c r="K33" s="14">
        <v>252990.08855173647</v>
      </c>
      <c r="L33" s="14">
        <v>0</v>
      </c>
      <c r="M33" s="14"/>
      <c r="N33" s="14"/>
      <c r="O33" s="14"/>
      <c r="P33" s="14"/>
      <c r="Q33" s="14"/>
      <c r="R33" s="14"/>
    </row>
    <row r="34" spans="2:18" x14ac:dyDescent="0.35">
      <c r="B34" s="15" t="s">
        <v>66</v>
      </c>
      <c r="C34" s="16"/>
      <c r="D34" s="17"/>
      <c r="E34" s="17"/>
      <c r="F34" s="17">
        <v>868133.0625</v>
      </c>
      <c r="G34" s="17">
        <v>776018.24584125541</v>
      </c>
      <c r="H34" s="17">
        <v>683903.42918251082</v>
      </c>
      <c r="I34" s="17">
        <v>591788.61252376623</v>
      </c>
      <c r="J34" s="17">
        <v>499673.79586502159</v>
      </c>
      <c r="K34" s="17">
        <v>407558.97920627712</v>
      </c>
      <c r="L34" s="17">
        <v>0</v>
      </c>
      <c r="M34" s="17"/>
      <c r="N34" s="17"/>
      <c r="O34" s="17"/>
      <c r="P34" s="17"/>
      <c r="Q34" s="17"/>
      <c r="R34" s="17"/>
    </row>
    <row r="35" spans="2:18" x14ac:dyDescent="0.35">
      <c r="B35" s="12" t="s">
        <v>66</v>
      </c>
      <c r="C35" s="13"/>
      <c r="D35" s="14"/>
      <c r="E35" s="14"/>
      <c r="F35" s="14">
        <v>330120</v>
      </c>
      <c r="G35" s="14">
        <v>238005.1825454545</v>
      </c>
      <c r="H35" s="14">
        <v>145890.36509090901</v>
      </c>
      <c r="I35" s="14">
        <v>53775.547636363517</v>
      </c>
      <c r="J35" s="14">
        <v>0</v>
      </c>
      <c r="K35" s="14"/>
      <c r="L35" s="14"/>
      <c r="M35" s="14"/>
      <c r="N35" s="14"/>
      <c r="O35" s="14"/>
      <c r="P35" s="14"/>
      <c r="Q35" s="14"/>
      <c r="R35" s="14"/>
    </row>
    <row r="36" spans="2:18" x14ac:dyDescent="0.35">
      <c r="B36" s="15" t="s">
        <v>55</v>
      </c>
      <c r="C36" s="16"/>
      <c r="D36" s="17"/>
      <c r="E36" s="17"/>
      <c r="F36" s="17">
        <v>1461600</v>
      </c>
      <c r="G36" s="17">
        <v>1344919.2935454545</v>
      </c>
      <c r="H36" s="17">
        <v>1228238.587090909</v>
      </c>
      <c r="I36" s="17">
        <v>1111557.8806363635</v>
      </c>
      <c r="J36" s="17">
        <v>994877.17418181803</v>
      </c>
      <c r="K36" s="17">
        <v>878196.46772727254</v>
      </c>
      <c r="L36" s="17">
        <v>294792.93545454519</v>
      </c>
      <c r="M36" s="17">
        <v>0</v>
      </c>
      <c r="N36" s="17"/>
      <c r="O36" s="17"/>
      <c r="P36" s="17"/>
      <c r="Q36" s="17"/>
      <c r="R36" s="17"/>
    </row>
    <row r="37" spans="2:18" x14ac:dyDescent="0.35">
      <c r="B37" s="12" t="s">
        <v>46</v>
      </c>
      <c r="C37" s="13"/>
      <c r="D37" s="14"/>
      <c r="E37" s="14"/>
      <c r="F37" s="14">
        <v>658500</v>
      </c>
      <c r="G37" s="14">
        <v>0</v>
      </c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</row>
    <row r="38" spans="2:18" x14ac:dyDescent="0.35">
      <c r="B38" s="15" t="s">
        <v>56</v>
      </c>
      <c r="C38" s="16"/>
      <c r="D38" s="17"/>
      <c r="E38" s="17"/>
      <c r="F38" s="17">
        <v>39546.8515625</v>
      </c>
      <c r="G38" s="17">
        <v>23330.590224824224</v>
      </c>
      <c r="H38" s="17">
        <v>7114.3288871484474</v>
      </c>
      <c r="I38" s="17">
        <v>0</v>
      </c>
      <c r="J38" s="17"/>
      <c r="K38" s="17"/>
      <c r="L38" s="17"/>
      <c r="M38" s="17"/>
      <c r="N38" s="17"/>
      <c r="O38" s="17"/>
      <c r="P38" s="17"/>
      <c r="Q38" s="17"/>
      <c r="R38" s="17"/>
    </row>
    <row r="39" spans="2:18" x14ac:dyDescent="0.35">
      <c r="B39" s="12" t="s">
        <v>57</v>
      </c>
      <c r="C39" s="13"/>
      <c r="D39" s="14"/>
      <c r="E39" s="14"/>
      <c r="F39" s="14">
        <v>2138677.75</v>
      </c>
      <c r="G39" s="14">
        <v>1652142.7012639008</v>
      </c>
      <c r="H39" s="14">
        <v>1165607.6525278015</v>
      </c>
      <c r="I39" s="14">
        <v>679072.60379170219</v>
      </c>
      <c r="J39" s="14">
        <v>192537.55505560286</v>
      </c>
      <c r="K39" s="14">
        <v>0</v>
      </c>
      <c r="L39" s="14"/>
      <c r="M39" s="14"/>
      <c r="N39" s="14"/>
      <c r="O39" s="14"/>
      <c r="P39" s="14"/>
      <c r="Q39" s="14"/>
      <c r="R39" s="14"/>
    </row>
    <row r="40" spans="2:18" x14ac:dyDescent="0.35">
      <c r="B40" s="15" t="s">
        <v>31</v>
      </c>
      <c r="C40" s="16"/>
      <c r="D40" s="17"/>
      <c r="E40" s="17"/>
      <c r="F40" s="17">
        <v>1173315.5</v>
      </c>
      <c r="G40" s="17">
        <v>1165136.6012969804</v>
      </c>
      <c r="H40" s="17">
        <v>1156957.7025939606</v>
      </c>
      <c r="I40" s="17">
        <v>1148778.803890941</v>
      </c>
      <c r="J40" s="17">
        <v>1140599.9051879211</v>
      </c>
      <c r="K40" s="17">
        <v>1132421.0064849015</v>
      </c>
      <c r="L40" s="17">
        <v>1091526.5129698026</v>
      </c>
      <c r="M40" s="17">
        <v>1050632.0194547041</v>
      </c>
      <c r="N40" s="17">
        <v>1001558.6272365856</v>
      </c>
      <c r="O40" s="17">
        <v>829801.75447317108</v>
      </c>
      <c r="P40" s="17">
        <v>658044.88170975656</v>
      </c>
      <c r="Q40" s="17">
        <v>142774.26341951641</v>
      </c>
      <c r="R40" s="17">
        <v>0</v>
      </c>
    </row>
    <row r="41" spans="2:18" x14ac:dyDescent="0.35">
      <c r="B41" s="12" t="s">
        <v>32</v>
      </c>
      <c r="C41" s="13"/>
      <c r="D41" s="14"/>
      <c r="E41" s="14"/>
      <c r="F41" s="14">
        <v>1439385.875</v>
      </c>
      <c r="G41" s="14">
        <v>1313494.1875475382</v>
      </c>
      <c r="H41" s="14">
        <v>1187602.5000950762</v>
      </c>
      <c r="I41" s="14">
        <v>1061710.8126426141</v>
      </c>
      <c r="J41" s="14">
        <v>935819.12519015232</v>
      </c>
      <c r="K41" s="14">
        <v>809927.43773769052</v>
      </c>
      <c r="L41" s="14">
        <v>180469.00047538057</v>
      </c>
      <c r="M41" s="14">
        <v>0</v>
      </c>
      <c r="N41" s="14"/>
      <c r="O41" s="14"/>
      <c r="P41" s="14"/>
      <c r="Q41" s="14"/>
      <c r="R41" s="14"/>
    </row>
    <row r="42" spans="2:18" x14ac:dyDescent="0.35">
      <c r="B42" s="15" t="s">
        <v>33</v>
      </c>
      <c r="C42" s="16"/>
      <c r="D42" s="17"/>
      <c r="E42" s="17"/>
      <c r="F42" s="17">
        <v>4329000</v>
      </c>
      <c r="G42" s="17">
        <v>873607.4100000005</v>
      </c>
      <c r="H42" s="17">
        <v>0</v>
      </c>
      <c r="I42" s="17"/>
      <c r="J42" s="17"/>
      <c r="K42" s="17"/>
      <c r="L42" s="17"/>
      <c r="M42" s="17"/>
      <c r="N42" s="17"/>
      <c r="O42" s="17"/>
      <c r="P42" s="17"/>
      <c r="Q42" s="17"/>
      <c r="R42" s="17"/>
    </row>
    <row r="43" spans="2:18" x14ac:dyDescent="0.35">
      <c r="B43" s="12" t="s">
        <v>34</v>
      </c>
      <c r="C43" s="13"/>
      <c r="D43" s="14"/>
      <c r="E43" s="14"/>
      <c r="F43" s="14">
        <v>2256100</v>
      </c>
      <c r="G43" s="14">
        <v>741871.00124242378</v>
      </c>
      <c r="H43" s="14">
        <v>0</v>
      </c>
      <c r="I43" s="14"/>
      <c r="J43" s="14"/>
      <c r="K43" s="14"/>
      <c r="L43" s="14"/>
      <c r="M43" s="14"/>
      <c r="N43" s="14"/>
      <c r="O43" s="14"/>
      <c r="P43" s="14"/>
      <c r="Q43" s="14"/>
      <c r="R43" s="14"/>
    </row>
    <row r="44" spans="2:18" x14ac:dyDescent="0.35">
      <c r="B44" s="15" t="s">
        <v>5</v>
      </c>
      <c r="C44" s="16"/>
      <c r="D44" s="17"/>
      <c r="E44" s="17"/>
      <c r="F44" s="17">
        <v>8383579.5</v>
      </c>
      <c r="G44" s="17">
        <v>8185873.2130173584</v>
      </c>
      <c r="H44" s="17">
        <v>7988166.9260347188</v>
      </c>
      <c r="I44" s="17">
        <v>7790460.6390520772</v>
      </c>
      <c r="J44" s="17">
        <v>7592754.3520694366</v>
      </c>
      <c r="K44" s="17">
        <v>7395048.0650867959</v>
      </c>
      <c r="L44" s="17">
        <v>6406516.630173591</v>
      </c>
      <c r="M44" s="17">
        <v>5417985.1952603869</v>
      </c>
      <c r="N44" s="17">
        <v>4231747.4733645404</v>
      </c>
      <c r="O44" s="17">
        <v>79915.446729079587</v>
      </c>
      <c r="P44" s="17">
        <v>0</v>
      </c>
      <c r="Q44" s="17"/>
      <c r="R44" s="17"/>
    </row>
    <row r="45" spans="2:18" x14ac:dyDescent="0.35">
      <c r="B45" s="12" t="s">
        <v>67</v>
      </c>
      <c r="C45" s="13"/>
      <c r="D45" s="14"/>
      <c r="E45" s="14"/>
      <c r="F45" s="14">
        <v>386600</v>
      </c>
      <c r="G45" s="14">
        <v>0</v>
      </c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</row>
    <row r="46" spans="2:18" x14ac:dyDescent="0.35">
      <c r="B46" s="15" t="s">
        <v>3</v>
      </c>
      <c r="C46" s="16"/>
      <c r="D46" s="17"/>
      <c r="E46" s="17"/>
      <c r="F46" s="17">
        <v>-623754.5</v>
      </c>
      <c r="G46" s="17">
        <v>-507940.81710474385</v>
      </c>
      <c r="H46" s="17">
        <v>-392127.1342094877</v>
      </c>
      <c r="I46" s="17">
        <v>-276313.45131423156</v>
      </c>
      <c r="J46" s="17">
        <v>-160499.76841897544</v>
      </c>
      <c r="K46" s="17">
        <v>-44686.085523719281</v>
      </c>
      <c r="L46" s="17">
        <v>0</v>
      </c>
      <c r="M46" s="17"/>
      <c r="N46" s="17"/>
      <c r="O46" s="17"/>
      <c r="P46" s="17"/>
      <c r="Q46" s="17"/>
      <c r="R46" s="17"/>
    </row>
    <row r="47" spans="2:18" x14ac:dyDescent="0.35">
      <c r="B47" s="12" t="s">
        <v>68</v>
      </c>
      <c r="C47" s="13"/>
      <c r="D47" s="14"/>
      <c r="E47" s="14"/>
      <c r="F47" s="14">
        <v>89000</v>
      </c>
      <c r="G47" s="14">
        <v>0</v>
      </c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</row>
    <row r="48" spans="2:18" x14ac:dyDescent="0.35">
      <c r="B48" s="15" t="s">
        <v>69</v>
      </c>
      <c r="C48" s="16"/>
      <c r="D48" s="17"/>
      <c r="E48" s="17"/>
      <c r="F48" s="17">
        <v>354420</v>
      </c>
      <c r="G48" s="17">
        <v>0</v>
      </c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</row>
    <row r="49" spans="2:18" x14ac:dyDescent="0.35">
      <c r="B49" s="12" t="s">
        <v>47</v>
      </c>
      <c r="C49" s="13"/>
      <c r="D49" s="14"/>
      <c r="E49" s="14"/>
      <c r="F49" s="14">
        <v>-702800</v>
      </c>
      <c r="G49" s="14">
        <v>0</v>
      </c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</row>
    <row r="50" spans="2:18" x14ac:dyDescent="0.35">
      <c r="B50" s="15" t="s">
        <v>48</v>
      </c>
      <c r="C50" s="16"/>
      <c r="D50" s="17"/>
      <c r="E50" s="17"/>
      <c r="F50" s="17">
        <v>-1370000</v>
      </c>
      <c r="G50" s="17">
        <v>0</v>
      </c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</row>
    <row r="51" spans="2:18" x14ac:dyDescent="0.35">
      <c r="B51" s="12" t="s">
        <v>58</v>
      </c>
      <c r="C51" s="13"/>
      <c r="D51" s="14"/>
      <c r="E51" s="14"/>
      <c r="F51" s="14">
        <v>-437400</v>
      </c>
      <c r="G51" s="14">
        <v>0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</row>
    <row r="52" spans="2:18" x14ac:dyDescent="0.35">
      <c r="B52" s="15" t="s">
        <v>59</v>
      </c>
      <c r="C52" s="16"/>
      <c r="D52" s="17"/>
      <c r="E52" s="17"/>
      <c r="F52" s="17">
        <v>-916500</v>
      </c>
      <c r="G52" s="17">
        <v>0</v>
      </c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spans="2:18" x14ac:dyDescent="0.35">
      <c r="B53" s="12" t="s">
        <v>60</v>
      </c>
      <c r="C53" s="13"/>
      <c r="D53" s="14"/>
      <c r="E53" s="14"/>
      <c r="F53" s="14">
        <v>-801150</v>
      </c>
      <c r="G53" s="14"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</row>
    <row r="54" spans="2:18" x14ac:dyDescent="0.35">
      <c r="B54" s="15" t="s">
        <v>70</v>
      </c>
      <c r="C54" s="16"/>
      <c r="D54" s="17"/>
      <c r="E54" s="17"/>
      <c r="F54" s="17">
        <v>-888300</v>
      </c>
      <c r="G54" s="17">
        <v>0</v>
      </c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</row>
    <row r="55" spans="2:18" x14ac:dyDescent="0.35">
      <c r="B55" s="12" t="s">
        <v>71</v>
      </c>
      <c r="C55" s="13"/>
      <c r="D55" s="14"/>
      <c r="E55" s="14"/>
      <c r="F55" s="14">
        <v>-431250</v>
      </c>
      <c r="G55" s="14">
        <v>0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</row>
    <row r="56" spans="2:18" x14ac:dyDescent="0.35">
      <c r="B56" s="15" t="s">
        <v>61</v>
      </c>
      <c r="C56" s="16"/>
      <c r="D56" s="17"/>
      <c r="E56" s="17"/>
      <c r="F56" s="17">
        <v>-425400</v>
      </c>
      <c r="G56" s="17">
        <v>0</v>
      </c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spans="2:18" x14ac:dyDescent="0.35">
      <c r="B57" s="12" t="s">
        <v>49</v>
      </c>
      <c r="C57" s="13"/>
      <c r="D57" s="14"/>
      <c r="E57" s="14"/>
      <c r="F57" s="14">
        <v>-1159200</v>
      </c>
      <c r="G57" s="14">
        <v>0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</row>
    <row r="58" spans="2:18" x14ac:dyDescent="0.35">
      <c r="B58" s="15"/>
      <c r="C58" s="16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</row>
    <row r="59" spans="2:18" x14ac:dyDescent="0.35">
      <c r="B59" s="12"/>
      <c r="C59" s="13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</row>
    <row r="60" spans="2:18" x14ac:dyDescent="0.35">
      <c r="B60" s="15"/>
      <c r="C60" s="16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</row>
    <row r="61" spans="2:18" x14ac:dyDescent="0.35">
      <c r="B61" s="12"/>
      <c r="C61" s="13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</row>
    <row r="62" spans="2:18" x14ac:dyDescent="0.35">
      <c r="B62" s="15"/>
      <c r="C62" s="16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</row>
    <row r="63" spans="2:18" x14ac:dyDescent="0.35">
      <c r="B63" s="12"/>
      <c r="C63" s="13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</row>
    <row r="64" spans="2:18" x14ac:dyDescent="0.35">
      <c r="B64" s="15"/>
      <c r="C64" s="16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</row>
    <row r="65" spans="2:18" x14ac:dyDescent="0.35">
      <c r="B65" s="12"/>
      <c r="C65" s="13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</row>
    <row r="66" spans="2:18" x14ac:dyDescent="0.35">
      <c r="B66" s="15"/>
      <c r="C66" s="16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</row>
    <row r="67" spans="2:18" x14ac:dyDescent="0.35">
      <c r="B67" s="12"/>
      <c r="C67" s="13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</row>
    <row r="68" spans="2:18" x14ac:dyDescent="0.35">
      <c r="B68" s="15"/>
      <c r="C68" s="16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</row>
    <row r="69" spans="2:18" x14ac:dyDescent="0.35">
      <c r="C69" s="1"/>
      <c r="D69" s="1"/>
      <c r="E69" s="1"/>
    </row>
    <row r="72" spans="2:18" x14ac:dyDescent="0.35">
      <c r="C72" s="1"/>
      <c r="D72" s="1"/>
      <c r="E72" s="1"/>
    </row>
    <row r="73" spans="2:18" x14ac:dyDescent="0.35">
      <c r="C73" s="1"/>
      <c r="D73" s="1"/>
      <c r="E73" s="1"/>
    </row>
    <row r="74" spans="2:18" x14ac:dyDescent="0.35">
      <c r="C74" s="1"/>
      <c r="D74" s="1"/>
      <c r="E74" s="1"/>
    </row>
    <row r="75" spans="2:18" x14ac:dyDescent="0.35">
      <c r="C75" s="1"/>
      <c r="D75" s="1"/>
      <c r="E75" s="1"/>
    </row>
    <row r="76" spans="2:18" x14ac:dyDescent="0.35">
      <c r="C76" s="1"/>
      <c r="D76" s="1"/>
      <c r="E76" s="1"/>
    </row>
    <row r="77" spans="2:18" x14ac:dyDescent="0.35">
      <c r="C77" s="1"/>
      <c r="D77" s="1"/>
      <c r="E77" s="1"/>
    </row>
    <row r="78" spans="2:18" x14ac:dyDescent="0.35">
      <c r="C78" s="1"/>
      <c r="D78" s="1"/>
      <c r="E78" s="1"/>
    </row>
    <row r="79" spans="2:18" x14ac:dyDescent="0.35">
      <c r="C79" s="1"/>
      <c r="D79" s="1"/>
      <c r="E79" s="1"/>
    </row>
    <row r="80" spans="2:18" x14ac:dyDescent="0.35">
      <c r="C80" s="1"/>
      <c r="D80" s="1"/>
      <c r="E80" s="1"/>
    </row>
    <row r="81" spans="3:5" x14ac:dyDescent="0.35">
      <c r="C81" s="1"/>
      <c r="D81" s="1"/>
      <c r="E81" s="1"/>
    </row>
    <row r="82" spans="3:5" x14ac:dyDescent="0.35">
      <c r="C82" s="1"/>
      <c r="D82" s="1"/>
      <c r="E82" s="1"/>
    </row>
    <row r="83" spans="3:5" x14ac:dyDescent="0.35">
      <c r="C83" s="1"/>
      <c r="D83" s="1"/>
      <c r="E83" s="1"/>
    </row>
    <row r="84" spans="3:5" x14ac:dyDescent="0.35">
      <c r="C84" s="1"/>
      <c r="D84" s="1"/>
      <c r="E84" s="1"/>
    </row>
    <row r="85" spans="3:5" x14ac:dyDescent="0.35">
      <c r="C85" s="1"/>
      <c r="D85" s="1"/>
      <c r="E85" s="1"/>
    </row>
    <row r="86" spans="3:5" x14ac:dyDescent="0.35">
      <c r="C86" s="1"/>
      <c r="D86" s="1"/>
      <c r="E86" s="1"/>
    </row>
  </sheetData>
  <conditionalFormatting sqref="F5:F6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G5:R6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490525EEDCD47B1C8745AB8F6D769" ma:contentTypeVersion="6" ma:contentTypeDescription="Create a new document." ma:contentTypeScope="" ma:versionID="d1b70d7ff17c81296004841414414f54">
  <xsd:schema xmlns:xsd="http://www.w3.org/2001/XMLSchema" xmlns:xs="http://www.w3.org/2001/XMLSchema" xmlns:p="http://schemas.microsoft.com/office/2006/metadata/properties" xmlns:ns2="8996a84b-be9f-47e4-9a4a-7b6b99f407db" xmlns:ns3="923e1776-a5c4-499c-83fd-0b7c46984e57" targetNamespace="http://schemas.microsoft.com/office/2006/metadata/properties" ma:root="true" ma:fieldsID="e5b9578769dad0986c400eee6f26d24f" ns2:_="" ns3:_="">
    <xsd:import namespace="8996a84b-be9f-47e4-9a4a-7b6b99f407db"/>
    <xsd:import namespace="923e1776-a5c4-499c-83fd-0b7c46984e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96a84b-be9f-47e4-9a4a-7b6b99f407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3e1776-a5c4-499c-83fd-0b7c46984e5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589FCA-886F-47D5-A48B-98FE37294F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96a84b-be9f-47e4-9a4a-7b6b99f407db"/>
    <ds:schemaRef ds:uri="923e1776-a5c4-499c-83fd-0b7c46984e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5F2DE3-8A89-42AD-988F-FFF11301B27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19B56BB-B32B-4CE7-9D92-32BC39CBF4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Shares</vt:lpstr>
      <vt:lpstr>Exposure</vt:lpstr>
      <vt:lpstr>Exposure!AsOfDate</vt:lpstr>
      <vt:lpstr>Shares!AsOfDate</vt:lpstr>
      <vt:lpstr>Exposure!CalcMap</vt:lpstr>
      <vt:lpstr>Shares!CalcMap</vt:lpstr>
      <vt:lpstr>Exposure!DailyVolCol</vt:lpstr>
      <vt:lpstr>Shares!DailyVolCol</vt:lpstr>
      <vt:lpstr>Exposure!DropSpot</vt:lpstr>
      <vt:lpstr>Shares!DropSpot</vt:lpstr>
      <vt:lpstr>Exposure!PctDailyVol</vt:lpstr>
      <vt:lpstr>Shares!PctDailyVol</vt:lpstr>
      <vt:lpstr>Exposure!ShareCol</vt:lpstr>
      <vt:lpstr>Shares!ShareCol</vt:lpstr>
      <vt:lpstr>Exposure!TickerCol</vt:lpstr>
      <vt:lpstr>Shares!TickerCol</vt:lpstr>
    </vt:vector>
  </TitlesOfParts>
  <Company>ALILxAllostery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Kafafian</dc:creator>
  <cp:lastModifiedBy>Lee Kafafian</cp:lastModifiedBy>
  <dcterms:created xsi:type="dcterms:W3CDTF">2023-09-18T18:57:19Z</dcterms:created>
  <dcterms:modified xsi:type="dcterms:W3CDTF">2024-10-09T12:17:39Z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2023-09-18T19:25:18Z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0bec8574-e162-47d3-853d-72480033babb</vt:lpwstr>
  </property>
  <property fmtid="{D5CDD505-2E9C-101B-9397-08002B2CF9AE}" pid="7" name="MSIP_Label_defa4170-0d19-0005-0004-bc88714345d2_ActionId">
    <vt:lpwstr>b1bdd4c4-e03a-46b0-aed2-7b9a923c7bb4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0x010100DDA490525EEDCD47B1C8745AB8F6D769</vt:lpwstr>
  </property>
</Properties>
</file>