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Month End/"/>
    </mc:Choice>
  </mc:AlternateContent>
  <xr:revisionPtr revIDLastSave="19" documentId="8_{D12A2087-5162-485B-AEF8-B605A6F3BF24}" xr6:coauthVersionLast="47" xr6:coauthVersionMax="47" xr10:uidLastSave="{15A11F1F-A53C-409F-8110-B9526709C23C}"/>
  <bookViews>
    <workbookView xWindow="6880" yWindow="1330" windowWidth="28980" windowHeight="17910" xr2:uid="{4870A9CF-9CA2-4D00-BF43-D01A2316A257}"/>
  </bookViews>
  <sheets>
    <sheet name="Median Market Cap" sheetId="2" r:id="rId1"/>
  </sheets>
  <definedNames>
    <definedName name="CUR_MKT_CAP" localSheetId="0">'Median Market Cap'!$D$3</definedName>
    <definedName name="CURRENCY" localSheetId="0">'Median Market Cap'!$E$3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2" l="1"/>
  <c r="D3" i="2"/>
</calcChain>
</file>

<file path=xl/sharedStrings.xml><?xml version="1.0" encoding="utf-8"?>
<sst xmlns="http://schemas.openxmlformats.org/spreadsheetml/2006/main" count="79" uniqueCount="42">
  <si>
    <t>APGE US Equity</t>
  </si>
  <si>
    <t>ELEV US Equity</t>
  </si>
  <si>
    <t>EOLS US Equity</t>
  </si>
  <si>
    <t>GOSS US Equity</t>
  </si>
  <si>
    <t>ZURA US Equity</t>
  </si>
  <si>
    <t>Alpha Longs</t>
  </si>
  <si>
    <t xml:space="preserve">  &lt;-- MEDIAN</t>
  </si>
  <si>
    <t>CYTK US Equity</t>
  </si>
  <si>
    <t>AVTX US Equity</t>
  </si>
  <si>
    <t>CNTA US Equity</t>
  </si>
  <si>
    <t>CRNX US Equity</t>
  </si>
  <si>
    <t>JSPR US Equity</t>
  </si>
  <si>
    <t>MRUS US Equity</t>
  </si>
  <si>
    <t>PHGE US Equity</t>
  </si>
  <si>
    <t>RLYB US Equity</t>
  </si>
  <si>
    <t>XENE US Equity</t>
  </si>
  <si>
    <t>CNTX US Equity</t>
  </si>
  <si>
    <t>KALV US Equity</t>
  </si>
  <si>
    <t>MNMD US Equity</t>
  </si>
  <si>
    <t>CLDX US Equity</t>
  </si>
  <si>
    <t>FOLD US Equity</t>
  </si>
  <si>
    <t>ACLX US Equity</t>
  </si>
  <si>
    <t>ALKS US Equity</t>
  </si>
  <si>
    <t>DNTH US Equity</t>
  </si>
  <si>
    <t>PMN US Equity</t>
  </si>
  <si>
    <t>BPMC US Equity</t>
  </si>
  <si>
    <t>INSM US Equity</t>
  </si>
  <si>
    <t>ORKA US Equity</t>
  </si>
  <si>
    <t>TWST US Equity</t>
  </si>
  <si>
    <t>CLYM US Equity</t>
  </si>
  <si>
    <t>AVTE US Equity</t>
  </si>
  <si>
    <t>ELDN US Equity</t>
  </si>
  <si>
    <t>LXEO US Equity</t>
  </si>
  <si>
    <t>TARS US Equity</t>
  </si>
  <si>
    <t>ZBIO US Equity</t>
  </si>
  <si>
    <t>ABVX FP Equity</t>
  </si>
  <si>
    <t>ALT US Equity</t>
  </si>
  <si>
    <t xml:space="preserve"> get(cur_mkt_cap(currency=USD,dates=2024-12-31), px_last(currency=USD,dates=2024-12-31)) for(#list)</t>
  </si>
  <si>
    <t>cur_mkt_cap(currency=USD,dates=2024-12-31)</t>
  </si>
  <si>
    <t>px_last(currency=USD,dates=2024-12-31)</t>
  </si>
  <si>
    <t>IONS US Equity</t>
  </si>
  <si>
    <t>VERA US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</si>
</sst>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\ #,##0_);[Red]\(&quot;$&quot;\ #,##0\)"/>
    <numFmt numFmtId="165" formatCode="#,##0.000000_);[Red]\(#,##0.000000\)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38" fontId="0" fillId="0" borderId="0" xfId="0" applyNumberFormat="1"/>
    <xf numFmtId="0" fontId="0" fillId="0" borderId="2" xfId="0" applyBorder="1"/>
    <xf numFmtId="38" fontId="0" fillId="0" borderId="2" xfId="0" applyNumberFormat="1" applyBorder="1"/>
    <xf numFmtId="38" fontId="0" fillId="0" borderId="0" xfId="0" applyNumberFormat="1" applyAlignment="1">
      <alignment horizontal="right" indent="1"/>
    </xf>
    <xf numFmtId="38" fontId="0" fillId="0" borderId="2" xfId="0" applyNumberFormat="1" applyBorder="1" applyAlignment="1">
      <alignment horizontal="right" indent="1"/>
    </xf>
    <xf numFmtId="165" fontId="0" fillId="0" borderId="0" xfId="0" applyNumberFormat="1" applyAlignment="1">
      <alignment horizontal="right" indent="1"/>
    </xf>
    <xf numFmtId="165" fontId="0" fillId="0" borderId="2" xfId="0" applyNumberFormat="1" applyBorder="1" applyAlignment="1">
      <alignment horizontal="right" indent="1"/>
    </xf>
    <xf numFmtId="0" fontId="1" fillId="0" borderId="0" xfId="0" applyFont="1"/>
    <xf numFmtId="38" fontId="1" fillId="0" borderId="0" xfId="0" applyNumberFormat="1" applyFont="1"/>
    <xf numFmtId="164" fontId="2" fillId="2" borderId="1" xfId="0" applyNumberFormat="1" applyFont="1" applyFill="1" applyBorder="1" applyAlignment="1">
      <alignment horizontal="right" indent="1"/>
    </xf>
    <xf numFmtId="165" fontId="2" fillId="0" borderId="1" xfId="0" quotePrefix="1" applyNumberFormat="1" applyFont="1" applyBorder="1" applyAlignment="1">
      <alignment horizontal="right" indent="1"/>
    </xf>
    <xf numFmtId="14" fontId="2" fillId="0" borderId="0" xfId="0" applyNumberFormat="1" applyFont="1"/>
    <xf numFmtId="38" fontId="1" fillId="0" borderId="0" xfId="0" applyNumberFormat="1" applyFont="1" applyAlignment="1">
      <alignment horizontal="right" indent="1"/>
    </xf>
    <xf numFmtId="165" fontId="1" fillId="0" borderId="0" xfId="0" applyNumberFormat="1" applyFont="1" applyAlignment="1">
      <alignment horizontal="right" indent="1"/>
    </xf>
    <xf numFmtId="0" fontId="2" fillId="3" borderId="3" xfId="0" applyFont="1" applyFill="1" applyBorder="1"/>
    <xf numFmtId="0" fontId="1" fillId="3" borderId="3" xfId="0" applyFont="1" applyFill="1" applyBorder="1"/>
    <xf numFmtId="38" fontId="2" fillId="3" borderId="3" xfId="0" applyNumberFormat="1" applyFont="1" applyFill="1" applyBorder="1" applyAlignment="1">
      <alignment horizontal="left"/>
    </xf>
    <xf numFmtId="38" fontId="2" fillId="3" borderId="4" xfId="0" applyNumberFormat="1" applyFont="1" applyFill="1" applyBorder="1" applyAlignment="1">
      <alignment horizontal="right" indent="1"/>
    </xf>
    <xf numFmtId="165" fontId="2" fillId="3" borderId="3" xfId="0" applyNumberFormat="1" applyFont="1" applyFill="1" applyBorder="1" applyAlignment="1">
      <alignment horizontal="right" indent="1"/>
    </xf>
    <xf numFmtId="0" fontId="1" fillId="0" borderId="2" xfId="0" applyFont="1" applyBorder="1"/>
    <xf numFmtId="38" fontId="1" fillId="0" borderId="2" xfId="0" applyNumberFormat="1" applyFont="1" applyBorder="1"/>
    <xf numFmtId="38" fontId="1" fillId="0" borderId="2" xfId="0" applyNumberFormat="1" applyFont="1" applyBorder="1" applyAlignment="1">
      <alignment horizontal="right" indent="1"/>
    </xf>
    <xf numFmtId="165" fontId="1" fillId="0" borderId="2" xfId="0" applyNumberFormat="1" applyFont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BQL.LIST|3557923703443378466</stp>
        <tr r="D3" s="2"/>
      </tp>
      <tp t="s">
        <v>#N/A N/A</v>
        <stp/>
        <stp>BQL.QUERY|11741750368551157993</stp>
        <tr r="D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E616E-0E16-4855-9045-D3F48605A1F8}">
  <sheetPr codeName="Sheet2"/>
  <dimension ref="A1:G100"/>
  <sheetViews>
    <sheetView showGridLines="0" tabSelected="1" zoomScale="91" zoomScaleNormal="91" workbookViewId="0">
      <selection activeCell="B3" sqref="B3"/>
    </sheetView>
  </sheetViews>
  <sheetFormatPr defaultRowHeight="14.5" x14ac:dyDescent="0.35"/>
  <cols>
    <col min="1" max="1" width="3.1796875" customWidth="1"/>
    <col min="2" max="2" width="19.453125" customWidth="1"/>
    <col min="3" max="3" width="4" customWidth="1"/>
    <col min="4" max="4" width="21.7265625" style="1" customWidth="1"/>
    <col min="5" max="5" width="44.1796875" style="4" bestFit="1" customWidth="1"/>
    <col min="6" max="6" width="39.1796875" style="6" bestFit="1" customWidth="1"/>
    <col min="7" max="7" width="17.54296875" customWidth="1"/>
    <col min="8" max="8" width="14.26953125" bestFit="1" customWidth="1"/>
    <col min="9" max="9" width="11.1796875" bestFit="1" customWidth="1"/>
    <col min="10" max="10" width="13" customWidth="1"/>
    <col min="13" max="13" width="14.1796875" customWidth="1"/>
    <col min="14" max="14" width="15.453125" customWidth="1"/>
  </cols>
  <sheetData>
    <row r="1" spans="1:7" x14ac:dyDescent="0.35">
      <c r="A1" s="8"/>
      <c r="B1" s="8"/>
      <c r="C1" s="8"/>
      <c r="D1" s="9"/>
      <c r="E1" s="10">
        <f>MEDIAN(E4:E500)</f>
        <v>645213837</v>
      </c>
      <c r="F1" s="11" t="s">
        <v>6</v>
      </c>
      <c r="G1" s="8"/>
    </row>
    <row r="2" spans="1:7" x14ac:dyDescent="0.35">
      <c r="A2" s="8"/>
      <c r="B2" s="12"/>
      <c r="C2" s="8"/>
      <c r="D2" s="9" t="s">
        <v>37</v>
      </c>
      <c r="E2" s="13"/>
      <c r="F2" s="14"/>
      <c r="G2" s="8"/>
    </row>
    <row r="3" spans="1:7" x14ac:dyDescent="0.35">
      <c r="A3" s="8"/>
      <c r="B3" s="15" t="s">
        <v>5</v>
      </c>
      <c r="C3" s="16"/>
      <c r="D3" s="17" t="str">
        <f>_xll.BQL.QUERY(D2,"#list",_xll.BQL.LIST($B4:$B100),"cols=3;rows=38")</f>
        <v>ID</v>
      </c>
      <c r="E3" s="18" t="s">
        <v>38</v>
      </c>
      <c r="F3" s="19" t="s">
        <v>39</v>
      </c>
      <c r="G3" s="8"/>
    </row>
    <row r="4" spans="1:7" x14ac:dyDescent="0.35">
      <c r="A4" s="8"/>
      <c r="B4" s="20" t="s">
        <v>35</v>
      </c>
      <c r="C4" s="20"/>
      <c r="D4" s="21" t="s">
        <v>35</v>
      </c>
      <c r="E4" s="22">
        <v>443176653.21638793</v>
      </c>
      <c r="F4" s="23">
        <v>6.9959239999999996</v>
      </c>
      <c r="G4" s="8"/>
    </row>
    <row r="5" spans="1:7" x14ac:dyDescent="0.35">
      <c r="A5" s="8"/>
      <c r="B5" s="20" t="s">
        <v>21</v>
      </c>
      <c r="C5" s="20"/>
      <c r="D5" s="21" t="s">
        <v>21</v>
      </c>
      <c r="E5" s="22">
        <v>4146986442.2999997</v>
      </c>
      <c r="F5" s="23">
        <v>76.69</v>
      </c>
      <c r="G5" s="8"/>
    </row>
    <row r="6" spans="1:7" x14ac:dyDescent="0.35">
      <c r="A6" s="8"/>
      <c r="B6" s="20" t="s">
        <v>22</v>
      </c>
      <c r="C6" s="20"/>
      <c r="D6" s="21" t="s">
        <v>22</v>
      </c>
      <c r="E6" s="22">
        <v>4653440130.0799999</v>
      </c>
      <c r="F6" s="23">
        <v>28.76</v>
      </c>
      <c r="G6" s="8"/>
    </row>
    <row r="7" spans="1:7" x14ac:dyDescent="0.35">
      <c r="A7" s="8"/>
      <c r="B7" s="20" t="s">
        <v>36</v>
      </c>
      <c r="C7" s="20"/>
      <c r="D7" s="21" t="s">
        <v>36</v>
      </c>
      <c r="E7" s="22">
        <v>512808546.24999994</v>
      </c>
      <c r="F7" s="23">
        <v>7.21</v>
      </c>
      <c r="G7" s="8"/>
    </row>
    <row r="8" spans="1:7" x14ac:dyDescent="0.35">
      <c r="A8" s="8"/>
      <c r="B8" s="20" t="s">
        <v>0</v>
      </c>
      <c r="C8" s="20"/>
      <c r="D8" s="21" t="s">
        <v>0</v>
      </c>
      <c r="E8" s="22">
        <v>2650647869.3999996</v>
      </c>
      <c r="F8" s="23">
        <v>45.3</v>
      </c>
      <c r="G8" s="8"/>
    </row>
    <row r="9" spans="1:7" x14ac:dyDescent="0.35">
      <c r="A9" s="8"/>
      <c r="B9" s="20" t="s">
        <v>30</v>
      </c>
      <c r="C9" s="20"/>
      <c r="D9" s="21" t="s">
        <v>30</v>
      </c>
      <c r="E9" s="22">
        <v>76517459.450000003</v>
      </c>
      <c r="F9" s="23">
        <v>2.65</v>
      </c>
      <c r="G9" s="8"/>
    </row>
    <row r="10" spans="1:7" x14ac:dyDescent="0.35">
      <c r="A10" s="8"/>
      <c r="B10" s="2" t="s">
        <v>8</v>
      </c>
      <c r="C10" s="2"/>
      <c r="D10" s="3" t="s">
        <v>8</v>
      </c>
      <c r="E10" s="5">
        <v>77744793.189999998</v>
      </c>
      <c r="F10" s="7">
        <v>7.43</v>
      </c>
      <c r="G10" s="8"/>
    </row>
    <row r="11" spans="1:7" x14ac:dyDescent="0.35">
      <c r="A11" s="8"/>
      <c r="B11" s="20" t="s">
        <v>25</v>
      </c>
      <c r="C11" s="20"/>
      <c r="D11" s="21" t="s">
        <v>25</v>
      </c>
      <c r="E11" s="22">
        <v>5540723590.3600006</v>
      </c>
      <c r="F11" s="23">
        <v>87.22</v>
      </c>
      <c r="G11" s="8"/>
    </row>
    <row r="12" spans="1:7" x14ac:dyDescent="0.35">
      <c r="A12" s="8"/>
      <c r="B12" s="20" t="s">
        <v>19</v>
      </c>
      <c r="C12" s="20"/>
      <c r="D12" s="21" t="s">
        <v>19</v>
      </c>
      <c r="E12" s="22">
        <v>1676518843.72</v>
      </c>
      <c r="F12" s="23">
        <v>25.27</v>
      </c>
      <c r="G12" s="8"/>
    </row>
    <row r="13" spans="1:7" x14ac:dyDescent="0.35">
      <c r="B13" s="20" t="s">
        <v>29</v>
      </c>
      <c r="C13" s="20"/>
      <c r="D13" s="21" t="s">
        <v>29</v>
      </c>
      <c r="E13" s="22">
        <v>121002768</v>
      </c>
      <c r="F13" s="23">
        <v>1.8</v>
      </c>
    </row>
    <row r="14" spans="1:7" x14ac:dyDescent="0.35">
      <c r="B14" s="2" t="s">
        <v>9</v>
      </c>
      <c r="C14" s="2"/>
      <c r="D14" s="3" t="s">
        <v>9</v>
      </c>
      <c r="E14" s="5">
        <v>2208411722.9999995</v>
      </c>
      <c r="F14" s="7">
        <v>16.75</v>
      </c>
    </row>
    <row r="15" spans="1:7" x14ac:dyDescent="0.35">
      <c r="B15" s="2" t="s">
        <v>16</v>
      </c>
      <c r="C15" s="2"/>
      <c r="D15" s="3" t="s">
        <v>16</v>
      </c>
      <c r="E15" s="5">
        <v>78748227.600000009</v>
      </c>
      <c r="F15" s="7">
        <v>1.05</v>
      </c>
    </row>
    <row r="16" spans="1:7" x14ac:dyDescent="0.35">
      <c r="B16" s="2" t="s">
        <v>10</v>
      </c>
      <c r="C16" s="2"/>
      <c r="D16" s="3" t="s">
        <v>10</v>
      </c>
      <c r="E16" s="5">
        <v>4741674868.5100002</v>
      </c>
      <c r="F16" s="7">
        <v>51.13</v>
      </c>
    </row>
    <row r="17" spans="2:6" x14ac:dyDescent="0.35">
      <c r="B17" s="2" t="s">
        <v>7</v>
      </c>
      <c r="C17" s="2"/>
      <c r="D17" s="3" t="s">
        <v>7</v>
      </c>
      <c r="E17" s="5">
        <v>5551389849.6000004</v>
      </c>
      <c r="F17" s="7">
        <v>47.04</v>
      </c>
    </row>
    <row r="18" spans="2:6" x14ac:dyDescent="0.35">
      <c r="B18" s="2" t="s">
        <v>23</v>
      </c>
      <c r="C18" s="2"/>
      <c r="D18" s="3" t="s">
        <v>23</v>
      </c>
      <c r="E18" s="5">
        <v>645213837</v>
      </c>
      <c r="F18" s="7">
        <v>21.8</v>
      </c>
    </row>
    <row r="19" spans="2:6" x14ac:dyDescent="0.35">
      <c r="B19" s="2" t="s">
        <v>31</v>
      </c>
      <c r="C19" s="2"/>
      <c r="D19" s="3" t="s">
        <v>31</v>
      </c>
      <c r="E19" s="5">
        <v>246125813</v>
      </c>
      <c r="F19" s="7">
        <v>4.12</v>
      </c>
    </row>
    <row r="20" spans="2:6" x14ac:dyDescent="0.35">
      <c r="B20" s="2" t="s">
        <v>1</v>
      </c>
      <c r="C20" s="2"/>
      <c r="D20" s="3" t="s">
        <v>1</v>
      </c>
      <c r="E20" s="5">
        <v>33260380.343000002</v>
      </c>
      <c r="F20" s="7">
        <v>0.56259999999999999</v>
      </c>
    </row>
    <row r="21" spans="2:6" x14ac:dyDescent="0.35">
      <c r="B21" s="2" t="s">
        <v>2</v>
      </c>
      <c r="C21" s="2"/>
      <c r="D21" s="3" t="s">
        <v>2</v>
      </c>
      <c r="E21" s="5">
        <v>699069282.71999991</v>
      </c>
      <c r="F21" s="7">
        <v>11.04</v>
      </c>
    </row>
    <row r="22" spans="2:6" x14ac:dyDescent="0.35">
      <c r="B22" s="2" t="s">
        <v>20</v>
      </c>
      <c r="C22" s="2"/>
      <c r="D22" s="3" t="s">
        <v>20</v>
      </c>
      <c r="E22" s="5">
        <v>2814750381.6599998</v>
      </c>
      <c r="F22" s="7">
        <v>9.42</v>
      </c>
    </row>
    <row r="23" spans="2:6" x14ac:dyDescent="0.35">
      <c r="B23" s="2" t="s">
        <v>3</v>
      </c>
      <c r="C23" s="2"/>
      <c r="D23" s="3" t="s">
        <v>3</v>
      </c>
      <c r="E23" s="5">
        <v>204986102.33019999</v>
      </c>
      <c r="F23" s="7">
        <v>0.90459999999999996</v>
      </c>
    </row>
    <row r="24" spans="2:6" x14ac:dyDescent="0.35">
      <c r="B24" s="2" t="s">
        <v>26</v>
      </c>
      <c r="C24" s="2"/>
      <c r="D24" s="3" t="s">
        <v>26</v>
      </c>
      <c r="E24" s="5">
        <v>12351443857.840002</v>
      </c>
      <c r="F24" s="7">
        <v>69.040000000000006</v>
      </c>
    </row>
    <row r="25" spans="2:6" x14ac:dyDescent="0.35">
      <c r="B25" s="2" t="s">
        <v>40</v>
      </c>
      <c r="C25" s="2"/>
      <c r="D25" s="3" t="s">
        <v>40</v>
      </c>
      <c r="E25" s="5">
        <v>5520089153.5200005</v>
      </c>
      <c r="F25" s="7">
        <v>34.96</v>
      </c>
    </row>
    <row r="26" spans="2:6" x14ac:dyDescent="0.35">
      <c r="B26" s="2" t="s">
        <v>11</v>
      </c>
      <c r="C26" s="2"/>
      <c r="D26" s="3" t="s">
        <v>11</v>
      </c>
      <c r="E26" s="5">
        <v>320728927.13999999</v>
      </c>
      <c r="F26" s="7">
        <v>21.38</v>
      </c>
    </row>
    <row r="27" spans="2:6" x14ac:dyDescent="0.35">
      <c r="B27" s="2" t="s">
        <v>17</v>
      </c>
      <c r="C27" s="2"/>
      <c r="D27" s="3" t="s">
        <v>17</v>
      </c>
      <c r="E27" s="5">
        <v>418570341.42000002</v>
      </c>
      <c r="F27" s="7">
        <v>8.4700000000000006</v>
      </c>
    </row>
    <row r="28" spans="2:6" x14ac:dyDescent="0.35">
      <c r="B28" s="2" t="s">
        <v>32</v>
      </c>
      <c r="C28" s="2"/>
      <c r="D28" s="3" t="s">
        <v>32</v>
      </c>
      <c r="E28" s="5">
        <v>217573931.26000002</v>
      </c>
      <c r="F28" s="7">
        <v>6.58</v>
      </c>
    </row>
    <row r="29" spans="2:6" x14ac:dyDescent="0.35">
      <c r="B29" s="2" t="s">
        <v>18</v>
      </c>
      <c r="C29" s="2"/>
      <c r="D29" s="3" t="s">
        <v>18</v>
      </c>
      <c r="E29" s="5">
        <v>510388562.39999998</v>
      </c>
      <c r="F29" s="7">
        <v>6.96</v>
      </c>
    </row>
    <row r="30" spans="2:6" x14ac:dyDescent="0.35">
      <c r="B30" s="2" t="s">
        <v>12</v>
      </c>
      <c r="C30" s="2"/>
      <c r="D30" s="3" t="s">
        <v>12</v>
      </c>
      <c r="E30" s="5">
        <v>2878897786.0499992</v>
      </c>
      <c r="F30" s="7">
        <v>42.05</v>
      </c>
    </row>
    <row r="31" spans="2:6" x14ac:dyDescent="0.35">
      <c r="B31" s="2" t="s">
        <v>27</v>
      </c>
      <c r="C31" s="2"/>
      <c r="D31" s="3" t="s">
        <v>27</v>
      </c>
      <c r="E31" s="5">
        <v>681724284.5</v>
      </c>
      <c r="F31" s="7">
        <v>19.39</v>
      </c>
    </row>
    <row r="32" spans="2:6" x14ac:dyDescent="0.35">
      <c r="B32" s="2" t="s">
        <v>13</v>
      </c>
      <c r="C32" s="2"/>
      <c r="D32" s="3" t="s">
        <v>13</v>
      </c>
      <c r="E32" s="5">
        <v>13065755.704399999</v>
      </c>
      <c r="F32" s="7">
        <v>0.73009999999999997</v>
      </c>
    </row>
    <row r="33" spans="2:6" x14ac:dyDescent="0.35">
      <c r="B33" s="2" t="s">
        <v>24</v>
      </c>
      <c r="C33" s="2"/>
      <c r="D33" s="3" t="s">
        <v>24</v>
      </c>
      <c r="E33" s="5">
        <v>30982814.282000002</v>
      </c>
      <c r="F33" s="7">
        <v>0.94779999999999998</v>
      </c>
    </row>
    <row r="34" spans="2:6" x14ac:dyDescent="0.35">
      <c r="B34" s="2" t="s">
        <v>14</v>
      </c>
      <c r="C34" s="2"/>
      <c r="D34" s="3" t="s">
        <v>14</v>
      </c>
      <c r="E34" s="5">
        <v>39828082.559999995</v>
      </c>
      <c r="F34" s="7">
        <v>0.96</v>
      </c>
    </row>
    <row r="35" spans="2:6" x14ac:dyDescent="0.35">
      <c r="B35" s="2" t="s">
        <v>33</v>
      </c>
      <c r="C35" s="2"/>
      <c r="D35" s="3" t="s">
        <v>33</v>
      </c>
      <c r="E35" s="5">
        <v>2116625058.7299995</v>
      </c>
      <c r="F35" s="7">
        <v>55.37</v>
      </c>
    </row>
    <row r="36" spans="2:6" x14ac:dyDescent="0.35">
      <c r="B36" s="2" t="s">
        <v>28</v>
      </c>
      <c r="C36" s="2"/>
      <c r="D36" s="3" t="s">
        <v>28</v>
      </c>
      <c r="E36" s="5">
        <v>2766026653.6200004</v>
      </c>
      <c r="F36" s="7">
        <v>46.47</v>
      </c>
    </row>
    <row r="37" spans="2:6" x14ac:dyDescent="0.35">
      <c r="B37" s="2" t="s">
        <v>41</v>
      </c>
      <c r="C37" s="2"/>
      <c r="D37" s="3" t="s">
        <v>41</v>
      </c>
      <c r="E37" s="5">
        <v>2677931911.3699999</v>
      </c>
      <c r="F37" s="7">
        <v>42.29</v>
      </c>
    </row>
    <row r="38" spans="2:6" x14ac:dyDescent="0.35">
      <c r="B38" s="2" t="s">
        <v>15</v>
      </c>
      <c r="C38" s="2"/>
      <c r="D38" s="3" t="s">
        <v>15</v>
      </c>
      <c r="E38" s="5">
        <v>2988592398.4000006</v>
      </c>
      <c r="F38" s="7">
        <v>39.200000000000003</v>
      </c>
    </row>
    <row r="39" spans="2:6" x14ac:dyDescent="0.35">
      <c r="B39" s="2" t="s">
        <v>34</v>
      </c>
      <c r="C39" s="2"/>
      <c r="D39" s="3" t="s">
        <v>34</v>
      </c>
      <c r="E39" s="5">
        <v>342268593.02999997</v>
      </c>
      <c r="F39" s="7">
        <v>8.19</v>
      </c>
    </row>
    <row r="40" spans="2:6" x14ac:dyDescent="0.35">
      <c r="B40" s="2" t="s">
        <v>4</v>
      </c>
      <c r="C40" s="2"/>
      <c r="D40" s="3" t="s">
        <v>4</v>
      </c>
      <c r="E40" s="5">
        <v>168298795</v>
      </c>
      <c r="F40" s="7">
        <v>2.5</v>
      </c>
    </row>
    <row r="41" spans="2:6" x14ac:dyDescent="0.35">
      <c r="B41" s="2"/>
      <c r="C41" s="2"/>
      <c r="D41" s="3"/>
      <c r="E41" s="5"/>
      <c r="F41" s="7"/>
    </row>
    <row r="42" spans="2:6" x14ac:dyDescent="0.35">
      <c r="B42" s="2"/>
      <c r="C42" s="2"/>
      <c r="D42" s="3"/>
      <c r="E42" s="5"/>
      <c r="F42" s="7"/>
    </row>
    <row r="43" spans="2:6" x14ac:dyDescent="0.35">
      <c r="B43" s="2"/>
      <c r="C43" s="2"/>
      <c r="D43" s="3"/>
      <c r="E43" s="5"/>
      <c r="F43" s="7"/>
    </row>
    <row r="44" spans="2:6" x14ac:dyDescent="0.35">
      <c r="B44" s="2"/>
      <c r="C44" s="2"/>
      <c r="D44" s="3"/>
      <c r="E44" s="5"/>
      <c r="F44" s="7"/>
    </row>
    <row r="45" spans="2:6" x14ac:dyDescent="0.35">
      <c r="B45" s="2"/>
      <c r="C45" s="2"/>
      <c r="D45" s="3"/>
      <c r="E45" s="5"/>
      <c r="F45" s="7"/>
    </row>
    <row r="46" spans="2:6" x14ac:dyDescent="0.35">
      <c r="B46" s="2"/>
      <c r="C46" s="2"/>
      <c r="D46" s="3"/>
      <c r="E46" s="5"/>
      <c r="F46" s="7"/>
    </row>
    <row r="47" spans="2:6" x14ac:dyDescent="0.35">
      <c r="B47" s="2"/>
      <c r="C47" s="2"/>
      <c r="D47" s="3"/>
      <c r="E47" s="5"/>
      <c r="F47" s="7"/>
    </row>
    <row r="48" spans="2:6" x14ac:dyDescent="0.35">
      <c r="B48" s="2"/>
      <c r="C48" s="2"/>
      <c r="D48" s="3"/>
      <c r="E48" s="5"/>
      <c r="F48" s="7"/>
    </row>
    <row r="49" spans="2:6" x14ac:dyDescent="0.35">
      <c r="B49" s="2"/>
      <c r="C49" s="2"/>
      <c r="D49" s="3"/>
      <c r="E49" s="5"/>
      <c r="F49" s="7"/>
    </row>
    <row r="50" spans="2:6" x14ac:dyDescent="0.35">
      <c r="B50" s="2"/>
      <c r="C50" s="2"/>
      <c r="D50" s="3"/>
      <c r="E50" s="5"/>
      <c r="F50" s="7"/>
    </row>
    <row r="51" spans="2:6" x14ac:dyDescent="0.35">
      <c r="B51" s="2"/>
      <c r="C51" s="2"/>
      <c r="D51" s="3"/>
      <c r="E51" s="5"/>
      <c r="F51" s="7"/>
    </row>
    <row r="52" spans="2:6" x14ac:dyDescent="0.35">
      <c r="B52" s="2"/>
      <c r="C52" s="2"/>
      <c r="D52" s="3"/>
      <c r="E52" s="5"/>
      <c r="F52" s="7"/>
    </row>
    <row r="53" spans="2:6" x14ac:dyDescent="0.35">
      <c r="B53" s="2"/>
      <c r="C53" s="2"/>
      <c r="D53" s="3"/>
      <c r="E53" s="5"/>
      <c r="F53" s="7"/>
    </row>
    <row r="54" spans="2:6" x14ac:dyDescent="0.35">
      <c r="B54" s="2"/>
      <c r="C54" s="2"/>
      <c r="D54" s="3"/>
      <c r="E54" s="5"/>
      <c r="F54" s="7"/>
    </row>
    <row r="55" spans="2:6" x14ac:dyDescent="0.35">
      <c r="B55" s="2"/>
      <c r="C55" s="2"/>
      <c r="D55" s="3"/>
      <c r="E55" s="5"/>
      <c r="F55" s="7"/>
    </row>
    <row r="56" spans="2:6" x14ac:dyDescent="0.35">
      <c r="B56" s="2"/>
      <c r="C56" s="2"/>
      <c r="D56" s="3"/>
      <c r="E56" s="5"/>
      <c r="F56" s="7"/>
    </row>
    <row r="57" spans="2:6" x14ac:dyDescent="0.35">
      <c r="B57" s="2"/>
      <c r="C57" s="2"/>
      <c r="D57" s="3"/>
      <c r="E57" s="5"/>
      <c r="F57" s="7"/>
    </row>
    <row r="58" spans="2:6" x14ac:dyDescent="0.35">
      <c r="B58" s="2"/>
      <c r="C58" s="2"/>
      <c r="D58" s="3"/>
      <c r="E58" s="5"/>
      <c r="F58" s="7"/>
    </row>
    <row r="59" spans="2:6" x14ac:dyDescent="0.35">
      <c r="B59" s="2"/>
      <c r="C59" s="2"/>
      <c r="D59" s="3"/>
      <c r="E59" s="5"/>
      <c r="F59" s="7"/>
    </row>
    <row r="60" spans="2:6" x14ac:dyDescent="0.35">
      <c r="B60" s="2"/>
      <c r="C60" s="2"/>
      <c r="D60" s="3"/>
      <c r="E60" s="5"/>
      <c r="F60" s="7"/>
    </row>
    <row r="61" spans="2:6" x14ac:dyDescent="0.35">
      <c r="B61" s="2"/>
      <c r="C61" s="2"/>
      <c r="D61" s="3"/>
      <c r="E61" s="5"/>
      <c r="F61" s="7"/>
    </row>
    <row r="62" spans="2:6" x14ac:dyDescent="0.35">
      <c r="B62" s="2"/>
      <c r="C62" s="2"/>
      <c r="D62" s="3"/>
      <c r="E62" s="5"/>
      <c r="F62" s="7"/>
    </row>
    <row r="63" spans="2:6" x14ac:dyDescent="0.35">
      <c r="B63" s="2"/>
      <c r="C63" s="2"/>
      <c r="D63" s="3"/>
      <c r="E63" s="5"/>
      <c r="F63" s="7"/>
    </row>
    <row r="64" spans="2:6" x14ac:dyDescent="0.35">
      <c r="B64" s="2"/>
      <c r="C64" s="2"/>
      <c r="D64" s="3"/>
      <c r="E64" s="5"/>
      <c r="F64" s="7"/>
    </row>
    <row r="65" spans="2:6" x14ac:dyDescent="0.35">
      <c r="B65" s="2"/>
      <c r="C65" s="2"/>
      <c r="D65" s="3"/>
      <c r="E65" s="5"/>
      <c r="F65" s="7"/>
    </row>
    <row r="66" spans="2:6" x14ac:dyDescent="0.35">
      <c r="B66" s="2"/>
      <c r="C66" s="2"/>
      <c r="D66" s="3"/>
      <c r="E66" s="5"/>
      <c r="F66" s="7"/>
    </row>
    <row r="67" spans="2:6" x14ac:dyDescent="0.35">
      <c r="B67" s="2"/>
      <c r="C67" s="2"/>
      <c r="D67" s="3"/>
      <c r="E67" s="5"/>
      <c r="F67" s="7"/>
    </row>
    <row r="68" spans="2:6" x14ac:dyDescent="0.35">
      <c r="B68" s="2"/>
      <c r="C68" s="2"/>
      <c r="D68" s="3"/>
      <c r="E68" s="5"/>
      <c r="F68" s="7"/>
    </row>
    <row r="69" spans="2:6" x14ac:dyDescent="0.35">
      <c r="B69" s="2"/>
      <c r="C69" s="2"/>
      <c r="D69" s="3"/>
      <c r="E69" s="5"/>
      <c r="F69" s="7"/>
    </row>
    <row r="70" spans="2:6" x14ac:dyDescent="0.35">
      <c r="B70" s="2"/>
      <c r="C70" s="2"/>
      <c r="D70" s="3"/>
      <c r="E70" s="5"/>
      <c r="F70" s="7"/>
    </row>
    <row r="71" spans="2:6" x14ac:dyDescent="0.35">
      <c r="B71" s="2"/>
      <c r="C71" s="2"/>
      <c r="D71" s="3"/>
      <c r="E71" s="5"/>
      <c r="F71" s="7"/>
    </row>
    <row r="72" spans="2:6" x14ac:dyDescent="0.35">
      <c r="B72" s="2"/>
      <c r="C72" s="2"/>
      <c r="D72" s="3"/>
      <c r="E72" s="5"/>
      <c r="F72" s="7"/>
    </row>
    <row r="73" spans="2:6" x14ac:dyDescent="0.35">
      <c r="B73" s="2"/>
      <c r="C73" s="2"/>
      <c r="D73" s="3"/>
      <c r="E73" s="5"/>
      <c r="F73" s="7"/>
    </row>
    <row r="74" spans="2:6" x14ac:dyDescent="0.35">
      <c r="B74" s="2"/>
      <c r="C74" s="2"/>
      <c r="D74" s="3"/>
      <c r="E74" s="5"/>
      <c r="F74" s="7"/>
    </row>
    <row r="75" spans="2:6" x14ac:dyDescent="0.35">
      <c r="B75" s="2"/>
      <c r="C75" s="2"/>
      <c r="D75" s="3"/>
      <c r="E75" s="5"/>
      <c r="F75" s="7"/>
    </row>
    <row r="76" spans="2:6" x14ac:dyDescent="0.35">
      <c r="B76" s="2"/>
      <c r="C76" s="2"/>
      <c r="D76" s="3"/>
      <c r="E76" s="5"/>
      <c r="F76" s="7"/>
    </row>
    <row r="77" spans="2:6" x14ac:dyDescent="0.35">
      <c r="B77" s="2"/>
      <c r="C77" s="2"/>
      <c r="D77" s="3"/>
      <c r="E77" s="5"/>
      <c r="F77" s="7"/>
    </row>
    <row r="78" spans="2:6" x14ac:dyDescent="0.35">
      <c r="B78" s="2"/>
      <c r="C78" s="2"/>
      <c r="D78" s="3"/>
      <c r="E78" s="5"/>
      <c r="F78" s="7"/>
    </row>
    <row r="79" spans="2:6" x14ac:dyDescent="0.35">
      <c r="B79" s="2"/>
      <c r="C79" s="2"/>
      <c r="D79" s="3"/>
      <c r="E79" s="5"/>
      <c r="F79" s="7"/>
    </row>
    <row r="80" spans="2:6" x14ac:dyDescent="0.35">
      <c r="B80" s="2"/>
      <c r="C80" s="2"/>
      <c r="D80" s="3"/>
      <c r="E80" s="5"/>
      <c r="F80" s="7"/>
    </row>
    <row r="81" spans="2:6" x14ac:dyDescent="0.35">
      <c r="B81" s="2"/>
      <c r="C81" s="2"/>
      <c r="D81" s="3"/>
      <c r="E81" s="5"/>
      <c r="F81" s="7"/>
    </row>
    <row r="82" spans="2:6" x14ac:dyDescent="0.35">
      <c r="B82" s="2"/>
      <c r="C82" s="2"/>
      <c r="D82" s="3"/>
      <c r="E82" s="5"/>
      <c r="F82" s="7"/>
    </row>
    <row r="83" spans="2:6" x14ac:dyDescent="0.35">
      <c r="B83" s="2"/>
      <c r="C83" s="2"/>
      <c r="D83" s="3"/>
      <c r="E83" s="5"/>
      <c r="F83" s="7"/>
    </row>
    <row r="84" spans="2:6" x14ac:dyDescent="0.35">
      <c r="B84" s="2"/>
      <c r="C84" s="2"/>
      <c r="D84" s="3"/>
      <c r="E84" s="5"/>
      <c r="F84" s="7"/>
    </row>
    <row r="85" spans="2:6" x14ac:dyDescent="0.35">
      <c r="B85" s="2"/>
      <c r="C85" s="2"/>
      <c r="D85" s="3"/>
      <c r="E85" s="5"/>
      <c r="F85" s="7"/>
    </row>
    <row r="86" spans="2:6" x14ac:dyDescent="0.35">
      <c r="B86" s="2"/>
      <c r="C86" s="2"/>
      <c r="D86" s="3"/>
      <c r="E86" s="5"/>
      <c r="F86" s="7"/>
    </row>
    <row r="87" spans="2:6" x14ac:dyDescent="0.35">
      <c r="B87" s="2"/>
      <c r="C87" s="2"/>
      <c r="D87" s="3"/>
      <c r="E87" s="5"/>
      <c r="F87" s="7"/>
    </row>
    <row r="88" spans="2:6" x14ac:dyDescent="0.35">
      <c r="B88" s="2"/>
      <c r="C88" s="2"/>
      <c r="D88" s="3"/>
      <c r="E88" s="5"/>
      <c r="F88" s="7"/>
    </row>
    <row r="89" spans="2:6" x14ac:dyDescent="0.35">
      <c r="B89" s="2"/>
      <c r="C89" s="2"/>
      <c r="D89" s="3"/>
      <c r="E89" s="5"/>
      <c r="F89" s="7"/>
    </row>
    <row r="90" spans="2:6" x14ac:dyDescent="0.35">
      <c r="B90" s="2"/>
      <c r="C90" s="2"/>
      <c r="D90" s="3"/>
      <c r="E90" s="5"/>
      <c r="F90" s="7"/>
    </row>
    <row r="91" spans="2:6" x14ac:dyDescent="0.35">
      <c r="B91" s="2"/>
      <c r="C91" s="2"/>
      <c r="D91" s="3"/>
      <c r="E91" s="5"/>
      <c r="F91" s="7"/>
    </row>
    <row r="92" spans="2:6" x14ac:dyDescent="0.35">
      <c r="B92" s="2"/>
      <c r="C92" s="2"/>
      <c r="D92" s="3"/>
      <c r="E92" s="5"/>
      <c r="F92" s="7"/>
    </row>
    <row r="93" spans="2:6" x14ac:dyDescent="0.35">
      <c r="B93" s="2"/>
      <c r="C93" s="2"/>
      <c r="D93" s="3"/>
      <c r="E93" s="5"/>
      <c r="F93" s="7"/>
    </row>
    <row r="94" spans="2:6" x14ac:dyDescent="0.35">
      <c r="B94" s="2"/>
      <c r="C94" s="2"/>
      <c r="D94" s="3"/>
      <c r="E94" s="5"/>
      <c r="F94" s="7"/>
    </row>
    <row r="95" spans="2:6" x14ac:dyDescent="0.35">
      <c r="B95" s="2"/>
      <c r="C95" s="2"/>
      <c r="D95" s="3"/>
      <c r="E95" s="5"/>
      <c r="F95" s="7"/>
    </row>
    <row r="96" spans="2:6" x14ac:dyDescent="0.35">
      <c r="B96" s="2"/>
      <c r="C96" s="2"/>
      <c r="D96" s="3"/>
      <c r="E96" s="5"/>
      <c r="F96" s="7"/>
    </row>
    <row r="97" spans="2:6" x14ac:dyDescent="0.35">
      <c r="B97" s="2"/>
      <c r="C97" s="2"/>
      <c r="D97" s="3"/>
      <c r="E97" s="5"/>
      <c r="F97" s="7"/>
    </row>
    <row r="98" spans="2:6" x14ac:dyDescent="0.35">
      <c r="B98" s="2"/>
      <c r="C98" s="2"/>
      <c r="D98" s="3"/>
      <c r="E98" s="5"/>
      <c r="F98" s="7"/>
    </row>
    <row r="99" spans="2:6" x14ac:dyDescent="0.35">
      <c r="B99" s="2"/>
      <c r="C99" s="2"/>
      <c r="D99" s="3"/>
      <c r="E99" s="5"/>
      <c r="F99" s="7"/>
    </row>
    <row r="100" spans="2:6" x14ac:dyDescent="0.35">
      <c r="B100" s="2"/>
      <c r="C100" s="2"/>
      <c r="D100" s="3"/>
      <c r="E100" s="5"/>
      <c r="F100" s="7"/>
    </row>
  </sheetData>
  <sortState xmlns:xlrd2="http://schemas.microsoft.com/office/spreadsheetml/2017/richdata2" ref="B4:F53">
    <sortCondition ref="B4:B5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78F723-F01E-430D-B2FF-DF78DC3B9A5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410A51E-5992-4299-872B-0EBD078054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7E8A5D-453B-471D-BE07-EFF89659E6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Median Market Cap</vt:lpstr>
      <vt:lpstr>'Median Market Cap'!CUR_MKT_CAP</vt:lpstr>
      <vt:lpstr>'Median Market Cap'!CURRENCY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2023-10-05T15:19:45Z</dcterms:created>
  <dcterms:modified xsi:type="dcterms:W3CDTF">2025-01-29T14:17:56Z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2023-10-05T15:32:37Z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cddf716b-b2ea-4a14-9f11-319d4a0f84a9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